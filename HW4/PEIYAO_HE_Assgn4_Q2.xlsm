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iya\Desktop\PEIYAO_HE_Assgn4\"/>
    </mc:Choice>
  </mc:AlternateContent>
  <xr:revisionPtr revIDLastSave="0" documentId="13_ncr:1_{3AD8369A-4BCF-4D4A-AA74-5D358D3504FE}" xr6:coauthVersionLast="47" xr6:coauthVersionMax="47" xr10:uidLastSave="{00000000-0000-0000-0000-000000000000}"/>
  <bookViews>
    <workbookView xWindow="384" yWindow="384" windowWidth="23040" windowHeight="12120" activeTab="1" xr2:uid="{00000000-000D-0000-FFFF-FFFF00000000}"/>
  </bookViews>
  <sheets>
    <sheet name="Data" sheetId="1" r:id="rId1"/>
    <sheet name="Style" sheetId="3" r:id="rId2"/>
    <sheet name="Style1" sheetId="4" r:id="rId3"/>
    <sheet name="Style2" sheetId="5" r:id="rId4"/>
  </sheets>
  <definedNames>
    <definedName name="answer1">Style1!$N$7</definedName>
    <definedName name="Answer2">Style2!$N$7</definedName>
    <definedName name="ColNames">Data!$A$1:$H$1</definedName>
    <definedName name="Errors">Style!$J$19:$J$42</definedName>
    <definedName name="Errors1">Style1!$J$19:$J$42</definedName>
    <definedName name="Errors2">Style2!$I$19:$I$54</definedName>
    <definedName name="ErrVariance">Style!$M$5</definedName>
    <definedName name="ErrVariance1">Style1!$M$5</definedName>
    <definedName name="ErrVariance2">Style2!$M$5</definedName>
    <definedName name="MaxWeights">Style!$C$15:$H$15</definedName>
    <definedName name="MaxWeights1">Style1!$C$15:$H$15</definedName>
    <definedName name="MaxWeights2">Style2!$C$15:$G$15</definedName>
    <definedName name="MinWeights">Style!$C$13:$H$13</definedName>
    <definedName name="MinWeights1">Style1!$C$13:$H$13</definedName>
    <definedName name="MinWeights2">Style2!$C$13:$G$13</definedName>
    <definedName name="ReturnData">Data!$A$2:$H$194</definedName>
    <definedName name="solver_adj" localSheetId="1" hidden="1">Style!$C$14:$H$14</definedName>
    <definedName name="solver_adj" localSheetId="2" hidden="1">Style1!$C$14:$H$14</definedName>
    <definedName name="solver_adj" localSheetId="3" hidden="1">Style2!$C$14:$G$14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itr" localSheetId="1" hidden="1">2147483647</definedName>
    <definedName name="solver_lhs1" localSheetId="1" hidden="1">Style!$C$14:$H$14</definedName>
    <definedName name="solver_lhs1" localSheetId="2" hidden="1">Style1!$C$14:$H$14</definedName>
    <definedName name="solver_lhs1" localSheetId="3" hidden="1">Style2!$C$14:$G$14</definedName>
    <definedName name="solver_lhs10" localSheetId="1" hidden="1">Style!$C$14:$H$14</definedName>
    <definedName name="solver_lhs10" localSheetId="2" hidden="1">Style1!$C$14:$H$14</definedName>
    <definedName name="solver_lhs10" localSheetId="3" hidden="1">Style2!$C$14:$G$14</definedName>
    <definedName name="solver_lhs11" localSheetId="1" hidden="1">Style!$C$14:$H$14</definedName>
    <definedName name="solver_lhs11" localSheetId="2" hidden="1">Style1!$M$7</definedName>
    <definedName name="solver_lhs11" localSheetId="3" hidden="1">Style2!$C$14:$G$14</definedName>
    <definedName name="solver_lhs12" localSheetId="1" hidden="1">Style!$C$14:$H$14</definedName>
    <definedName name="solver_lhs12" localSheetId="2" hidden="1">Style1!$C$14:$H$14</definedName>
    <definedName name="solver_lhs12" localSheetId="3" hidden="1">Style2!$M$7</definedName>
    <definedName name="solver_lhs13" localSheetId="1" hidden="1">Style!$C$14:$H$14</definedName>
    <definedName name="solver_lhs13" localSheetId="2" hidden="1">Style1!$C$14:$H$14</definedName>
    <definedName name="solver_lhs13" localSheetId="3" hidden="1">Style2!$C$14:$G$14</definedName>
    <definedName name="solver_lhs14" localSheetId="1" hidden="1">Style!$C$14:$H$14</definedName>
    <definedName name="solver_lhs14" localSheetId="2" hidden="1">Style1!$M$7</definedName>
    <definedName name="solver_lhs14" localSheetId="3" hidden="1">Style2!$C$14:$G$14</definedName>
    <definedName name="solver_lhs15" localSheetId="1" hidden="1">Style!$C$14:$H$14</definedName>
    <definedName name="solver_lhs15" localSheetId="2" hidden="1">Style1!$C$14:$H$14</definedName>
    <definedName name="solver_lhs15" localSheetId="3" hidden="1">Style2!$M$7</definedName>
    <definedName name="solver_lhs16" localSheetId="1" hidden="1">Style!$C$14:$H$14</definedName>
    <definedName name="solver_lhs16" localSheetId="2" hidden="1">Style1!$C$14:$H$14</definedName>
    <definedName name="solver_lhs16" localSheetId="3" hidden="1">Style2!$C$14:$G$14</definedName>
    <definedName name="solver_lhs17" localSheetId="1" hidden="1">Style!$C$14:$H$14</definedName>
    <definedName name="solver_lhs17" localSheetId="2" hidden="1">Style1!$M$7</definedName>
    <definedName name="solver_lhs17" localSheetId="3" hidden="1">Style2!$C$14:$G$14</definedName>
    <definedName name="solver_lhs18" localSheetId="1" hidden="1">Style!$C$14:$H$14</definedName>
    <definedName name="solver_lhs18" localSheetId="2" hidden="1">Style1!$C$14:$H$14</definedName>
    <definedName name="solver_lhs18" localSheetId="3" hidden="1">Style2!$M$7</definedName>
    <definedName name="solver_lhs19" localSheetId="1" hidden="1">Style!$C$14:$H$14</definedName>
    <definedName name="solver_lhs19" localSheetId="2" hidden="1">Style1!$C$14:$H$14</definedName>
    <definedName name="solver_lhs2" localSheetId="1" hidden="1">Style!$C$14:$H$14</definedName>
    <definedName name="solver_lhs2" localSheetId="2" hidden="1">Style1!$C$14:$H$14</definedName>
    <definedName name="solver_lhs2" localSheetId="3" hidden="1">Style2!$C$14:$G$14</definedName>
    <definedName name="solver_lhs20" localSheetId="1" hidden="1">Style!$C$14:$H$14</definedName>
    <definedName name="solver_lhs20" localSheetId="2" hidden="1">Style1!$M$7</definedName>
    <definedName name="solver_lhs21" localSheetId="1" hidden="1">Style!$C$14:$H$14</definedName>
    <definedName name="solver_lhs21" localSheetId="2" hidden="1">Style1!$C$14:$H$14</definedName>
    <definedName name="solver_lhs22" localSheetId="2" hidden="1">Style1!$C$14:$H$14</definedName>
    <definedName name="solver_lhs23" localSheetId="2" hidden="1">Style1!$M$7</definedName>
    <definedName name="solver_lhs24" localSheetId="2" hidden="1">Style1!$C$14:$H$14</definedName>
    <definedName name="solver_lhs25" localSheetId="2" hidden="1">Style1!$C$14:$H$14</definedName>
    <definedName name="solver_lhs26" localSheetId="2" hidden="1">Style1!$M$7</definedName>
    <definedName name="solver_lhs27" localSheetId="2" hidden="1">Style1!$C$14:$H$14</definedName>
    <definedName name="solver_lhs28" localSheetId="2" hidden="1">Style1!$C$14:$H$14</definedName>
    <definedName name="solver_lhs29" localSheetId="2" hidden="1">Style1!$M$7</definedName>
    <definedName name="solver_lhs3" localSheetId="1" hidden="1">Style!$M$7</definedName>
    <definedName name="solver_lhs3" localSheetId="2" hidden="1">Style1!$M$7</definedName>
    <definedName name="solver_lhs3" localSheetId="3" hidden="1">Style2!$M$7</definedName>
    <definedName name="solver_lhs30" localSheetId="2" hidden="1">Style1!$C$14:$H$14</definedName>
    <definedName name="solver_lhs31" localSheetId="2" hidden="1">Style1!$C$14:$H$14</definedName>
    <definedName name="solver_lhs32" localSheetId="2" hidden="1">Style1!$M$7</definedName>
    <definedName name="solver_lhs4" localSheetId="1" hidden="1">Style!$C$14:$H$14</definedName>
    <definedName name="solver_lhs4" localSheetId="2" hidden="1">Style1!$C$14:$H$14</definedName>
    <definedName name="solver_lhs4" localSheetId="3" hidden="1">Style2!$C$14:$G$14</definedName>
    <definedName name="solver_lhs5" localSheetId="1" hidden="1">Style!$C$14:$H$14</definedName>
    <definedName name="solver_lhs5" localSheetId="2" hidden="1">Style1!$C$14:$H$14</definedName>
    <definedName name="solver_lhs5" localSheetId="3" hidden="1">Style2!$C$14:$G$14</definedName>
    <definedName name="solver_lhs6" localSheetId="1" hidden="1">Style!$C$14:$H$14</definedName>
    <definedName name="solver_lhs6" localSheetId="2" hidden="1">Style1!$C$14:$H$14</definedName>
    <definedName name="solver_lhs6" localSheetId="3" hidden="1">Style2!$M$7</definedName>
    <definedName name="solver_lhs7" localSheetId="1" hidden="1">Style!$C$14:$H$14</definedName>
    <definedName name="solver_lhs7" localSheetId="2" hidden="1">Style1!$C$14:$H$14</definedName>
    <definedName name="solver_lhs7" localSheetId="3" hidden="1">Style2!$C$14:$G$14</definedName>
    <definedName name="solver_lhs8" localSheetId="1" hidden="1">Style!$C$14:$H$14</definedName>
    <definedName name="solver_lhs8" localSheetId="2" hidden="1">Style1!$C$14:$H$14</definedName>
    <definedName name="solver_lhs8" localSheetId="3" hidden="1">Style2!$C$14:$G$14</definedName>
    <definedName name="solver_lhs9" localSheetId="1" hidden="1">Style!$C$14:$H$14</definedName>
    <definedName name="solver_lhs9" localSheetId="2" hidden="1">Style1!$C$14:$H$14</definedName>
    <definedName name="solver_lhs9" localSheetId="3" hidden="1">Style2!$M$7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1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opt" localSheetId="1" hidden="1">Style!$M$5</definedName>
    <definedName name="solver_opt" localSheetId="2" hidden="1">Style1!$M$5</definedName>
    <definedName name="solver_opt" localSheetId="3" hidden="1">Style2!$M$5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" localSheetId="2" hidden="1">1</definedName>
    <definedName name="solver_rel1" localSheetId="3" hidden="1">1</definedName>
    <definedName name="solver_rel10" localSheetId="1" hidden="1">3</definedName>
    <definedName name="solver_rel10" localSheetId="2" hidden="1">1</definedName>
    <definedName name="solver_rel10" localSheetId="3" hidden="1">3</definedName>
    <definedName name="solver_rel11" localSheetId="1" hidden="1">1</definedName>
    <definedName name="solver_rel11" localSheetId="2" hidden="1">2</definedName>
    <definedName name="solver_rel11" localSheetId="3" hidden="1">1</definedName>
    <definedName name="solver_rel12" localSheetId="1" hidden="1">3</definedName>
    <definedName name="solver_rel12" localSheetId="2" hidden="1">3</definedName>
    <definedName name="solver_rel12" localSheetId="3" hidden="1">2</definedName>
    <definedName name="solver_rel13" localSheetId="1" hidden="1">1</definedName>
    <definedName name="solver_rel13" localSheetId="2" hidden="1">1</definedName>
    <definedName name="solver_rel13" localSheetId="3" hidden="1">3</definedName>
    <definedName name="solver_rel14" localSheetId="1" hidden="1">3</definedName>
    <definedName name="solver_rel14" localSheetId="2" hidden="1">2</definedName>
    <definedName name="solver_rel14" localSheetId="3" hidden="1">1</definedName>
    <definedName name="solver_rel15" localSheetId="1" hidden="1">1</definedName>
    <definedName name="solver_rel15" localSheetId="2" hidden="1">3</definedName>
    <definedName name="solver_rel15" localSheetId="3" hidden="1">2</definedName>
    <definedName name="solver_rel16" localSheetId="1" hidden="1">3</definedName>
    <definedName name="solver_rel16" localSheetId="2" hidden="1">1</definedName>
    <definedName name="solver_rel16" localSheetId="3" hidden="1">3</definedName>
    <definedName name="solver_rel17" localSheetId="1" hidden="1">1</definedName>
    <definedName name="solver_rel17" localSheetId="2" hidden="1">2</definedName>
    <definedName name="solver_rel17" localSheetId="3" hidden="1">1</definedName>
    <definedName name="solver_rel18" localSheetId="1" hidden="1">3</definedName>
    <definedName name="solver_rel18" localSheetId="2" hidden="1">3</definedName>
    <definedName name="solver_rel18" localSheetId="3" hidden="1">2</definedName>
    <definedName name="solver_rel19" localSheetId="1" hidden="1">1</definedName>
    <definedName name="solver_rel19" localSheetId="2" hidden="1">1</definedName>
    <definedName name="solver_rel2" localSheetId="1" hidden="1">3</definedName>
    <definedName name="solver_rel2" localSheetId="2" hidden="1">3</definedName>
    <definedName name="solver_rel2" localSheetId="3" hidden="1">3</definedName>
    <definedName name="solver_rel20" localSheetId="1" hidden="1">3</definedName>
    <definedName name="solver_rel20" localSheetId="2" hidden="1">2</definedName>
    <definedName name="solver_rel21" localSheetId="1" hidden="1">1</definedName>
    <definedName name="solver_rel21" localSheetId="2" hidden="1">3</definedName>
    <definedName name="solver_rel22" localSheetId="2" hidden="1">1</definedName>
    <definedName name="solver_rel23" localSheetId="2" hidden="1">2</definedName>
    <definedName name="solver_rel24" localSheetId="2" hidden="1">3</definedName>
    <definedName name="solver_rel25" localSheetId="2" hidden="1">1</definedName>
    <definedName name="solver_rel26" localSheetId="2" hidden="1">2</definedName>
    <definedName name="solver_rel27" localSheetId="2" hidden="1">3</definedName>
    <definedName name="solver_rel28" localSheetId="2" hidden="1">1</definedName>
    <definedName name="solver_rel29" localSheetId="2" hidden="1">2</definedName>
    <definedName name="solver_rel3" localSheetId="1" hidden="1">2</definedName>
    <definedName name="solver_rel3" localSheetId="2" hidden="1">2</definedName>
    <definedName name="solver_rel3" localSheetId="3" hidden="1">2</definedName>
    <definedName name="solver_rel30" localSheetId="2" hidden="1">3</definedName>
    <definedName name="solver_rel31" localSheetId="2" hidden="1">1</definedName>
    <definedName name="solver_rel32" localSheetId="2" hidden="1">2</definedName>
    <definedName name="solver_rel4" localSheetId="1" hidden="1">3</definedName>
    <definedName name="solver_rel4" localSheetId="2" hidden="1">1</definedName>
    <definedName name="solver_rel4" localSheetId="3" hidden="1">3</definedName>
    <definedName name="solver_rel5" localSheetId="1" hidden="1">1</definedName>
    <definedName name="solver_rel5" localSheetId="2" hidden="1">3</definedName>
    <definedName name="solver_rel5" localSheetId="3" hidden="1">1</definedName>
    <definedName name="solver_rel6" localSheetId="1" hidden="1">3</definedName>
    <definedName name="solver_rel6" localSheetId="2" hidden="1">1</definedName>
    <definedName name="solver_rel6" localSheetId="3" hidden="1">2</definedName>
    <definedName name="solver_rel7" localSheetId="1" hidden="1">1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1</definedName>
    <definedName name="solver_rel9" localSheetId="2" hidden="1">3</definedName>
    <definedName name="solver_rel9" localSheetId="3" hidden="1">2</definedName>
    <definedName name="solver_rhs1" localSheetId="1" hidden="1">MaxWeights</definedName>
    <definedName name="solver_rhs1" localSheetId="2" hidden="1">MaxWeights1</definedName>
    <definedName name="solver_rhs1" localSheetId="3" hidden="1">MaxWeights2</definedName>
    <definedName name="solver_rhs10" localSheetId="1" hidden="1">Style!$C$13:$H$13</definedName>
    <definedName name="solver_rhs10" localSheetId="2" hidden="1">Style1!$C$15:$H$15</definedName>
    <definedName name="solver_rhs10" localSheetId="3" hidden="1">Style2!$C$13:$G$13</definedName>
    <definedName name="solver_rhs11" localSheetId="1" hidden="1">Style!$C$15:$H$15</definedName>
    <definedName name="solver_rhs11" localSheetId="2" hidden="1">1</definedName>
    <definedName name="solver_rhs11" localSheetId="3" hidden="1">Style2!$C$15:$G$15</definedName>
    <definedName name="solver_rhs12" localSheetId="1" hidden="1">Style!$C$13:$H$13</definedName>
    <definedName name="solver_rhs12" localSheetId="2" hidden="1">Style1!$C$13:$H$13</definedName>
    <definedName name="solver_rhs12" localSheetId="3" hidden="1">1</definedName>
    <definedName name="solver_rhs13" localSheetId="1" hidden="1">Style!$C$15:$H$15</definedName>
    <definedName name="solver_rhs13" localSheetId="2" hidden="1">Style1!$C$15:$H$15</definedName>
    <definedName name="solver_rhs13" localSheetId="3" hidden="1">Style2!$C$13:$G$13</definedName>
    <definedName name="solver_rhs14" localSheetId="1" hidden="1">Style!$C$13:$H$13</definedName>
    <definedName name="solver_rhs14" localSheetId="2" hidden="1">1</definedName>
    <definedName name="solver_rhs14" localSheetId="3" hidden="1">Style2!$C$15:$G$15</definedName>
    <definedName name="solver_rhs15" localSheetId="1" hidden="1">Style!$C$15:$H$15</definedName>
    <definedName name="solver_rhs15" localSheetId="2" hidden="1">Style1!$C$13:$H$13</definedName>
    <definedName name="solver_rhs15" localSheetId="3" hidden="1">1</definedName>
    <definedName name="solver_rhs16" localSheetId="1" hidden="1">Style!$C$13:$H$13</definedName>
    <definedName name="solver_rhs16" localSheetId="2" hidden="1">Style1!$C$15:$H$15</definedName>
    <definedName name="solver_rhs16" localSheetId="3" hidden="1">Style2!$C$13:$G$13</definedName>
    <definedName name="solver_rhs17" localSheetId="1" hidden="1">Style!$C$15:$H$15</definedName>
    <definedName name="solver_rhs17" localSheetId="2" hidden="1">1</definedName>
    <definedName name="solver_rhs17" localSheetId="3" hidden="1">Style2!$C$15:$G$15</definedName>
    <definedName name="solver_rhs18" localSheetId="1" hidden="1">Style!$C$13:$H$13</definedName>
    <definedName name="solver_rhs18" localSheetId="2" hidden="1">Style1!$C$13:$H$13</definedName>
    <definedName name="solver_rhs18" localSheetId="3" hidden="1">1</definedName>
    <definedName name="solver_rhs19" localSheetId="1" hidden="1">Style!$C$15:$H$15</definedName>
    <definedName name="solver_rhs19" localSheetId="2" hidden="1">Style1!$C$15:$H$15</definedName>
    <definedName name="solver_rhs2" localSheetId="1" hidden="1">MinWeights</definedName>
    <definedName name="solver_rhs2" localSheetId="2" hidden="1">MinWeights1</definedName>
    <definedName name="solver_rhs2" localSheetId="3" hidden="1">MinWeights2</definedName>
    <definedName name="solver_rhs20" localSheetId="1" hidden="1">Style!$C$13:$H$13</definedName>
    <definedName name="solver_rhs20" localSheetId="2" hidden="1">1</definedName>
    <definedName name="solver_rhs21" localSheetId="1" hidden="1">Style!$C$15:$H$15</definedName>
    <definedName name="solver_rhs21" localSheetId="2" hidden="1">Style1!$C$13:$H$13</definedName>
    <definedName name="solver_rhs22" localSheetId="2" hidden="1">Style1!$C$15:$H$15</definedName>
    <definedName name="solver_rhs23" localSheetId="2" hidden="1">1</definedName>
    <definedName name="solver_rhs24" localSheetId="2" hidden="1">Style1!$C$13:$H$13</definedName>
    <definedName name="solver_rhs25" localSheetId="2" hidden="1">Style1!$C$15:$H$15</definedName>
    <definedName name="solver_rhs26" localSheetId="2" hidden="1">1</definedName>
    <definedName name="solver_rhs27" localSheetId="2" hidden="1">Style1!$C$13:$H$13</definedName>
    <definedName name="solver_rhs28" localSheetId="2" hidden="1">Style1!$C$15:$H$15</definedName>
    <definedName name="solver_rhs29" localSheetId="2" hidden="1">1</definedName>
    <definedName name="solver_rhs3" localSheetId="1" hidden="1">1</definedName>
    <definedName name="solver_rhs3" localSheetId="2" hidden="1">1</definedName>
    <definedName name="solver_rhs3" localSheetId="3" hidden="1">1</definedName>
    <definedName name="solver_rhs30" localSheetId="2" hidden="1">Style1!$C$13:$H$13</definedName>
    <definedName name="solver_rhs31" localSheetId="2" hidden="1">Style1!$C$15:$H$15</definedName>
    <definedName name="solver_rhs32" localSheetId="2" hidden="1">1</definedName>
    <definedName name="solver_rhs4" localSheetId="1" hidden="1">Style!$C$13:$H$13</definedName>
    <definedName name="solver_rhs4" localSheetId="2" hidden="1">Style1!$C$15:$H$15</definedName>
    <definedName name="solver_rhs4" localSheetId="3" hidden="1">Style2!$C$13:$G$13</definedName>
    <definedName name="solver_rhs5" localSheetId="1" hidden="1">Style!$C$15:$H$15</definedName>
    <definedName name="solver_rhs5" localSheetId="2" hidden="1">Style1!$C$13:$H$13</definedName>
    <definedName name="solver_rhs5" localSheetId="3" hidden="1">Style2!$C$15:$G$15</definedName>
    <definedName name="solver_rhs6" localSheetId="1" hidden="1">Style!$C$13:$H$13</definedName>
    <definedName name="solver_rhs6" localSheetId="2" hidden="1">Style1!$C$15:$H$15</definedName>
    <definedName name="solver_rhs6" localSheetId="3" hidden="1">1</definedName>
    <definedName name="solver_rhs7" localSheetId="1" hidden="1">Style!$C$15:$H$15</definedName>
    <definedName name="solver_rhs7" localSheetId="2" hidden="1">Style1!$C$13:$H$13</definedName>
    <definedName name="solver_rhs7" localSheetId="3" hidden="1">Style2!$C$13:$G$13</definedName>
    <definedName name="solver_rhs8" localSheetId="1" hidden="1">Style!$C$13:$H$13</definedName>
    <definedName name="solver_rhs8" localSheetId="2" hidden="1">Style1!$C$15:$H$15</definedName>
    <definedName name="solver_rhs8" localSheetId="3" hidden="1">Style2!$C$15:$G$15</definedName>
    <definedName name="solver_rhs9" localSheetId="1" hidden="1">Style!$C$15:$H$15</definedName>
    <definedName name="solver_rhs9" localSheetId="2" hidden="1">Style1!$C$13:$H$13</definedName>
    <definedName name="solver_rhs9" localSheetId="3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tyleWeights">Style!$C$14:$H$14</definedName>
    <definedName name="StyleWeights1">Style1!$C$14:$H$14</definedName>
    <definedName name="StyleWeights2">Style2!$C$14:$G$14</definedName>
    <definedName name="temp">Data!$K$4:$N$4</definedName>
    <definedName name="Total">Style!$M$7</definedName>
    <definedName name="Total1">Style1!$M$7</definedName>
    <definedName name="Total2">Style2!$M$7</definedName>
  </definedNames>
  <calcPr calcId="191029" calcMode="manual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5" l="1"/>
  <c r="H20" i="5"/>
  <c r="I20" i="5" s="1"/>
  <c r="H21" i="5"/>
  <c r="I21" i="5" s="1"/>
  <c r="H22" i="5"/>
  <c r="I22" i="5" s="1"/>
  <c r="H23" i="5"/>
  <c r="I23" i="5" s="1"/>
  <c r="H24" i="5"/>
  <c r="I24" i="5" s="1"/>
  <c r="H25" i="5"/>
  <c r="I25" i="5" s="1"/>
  <c r="H26" i="5"/>
  <c r="I26" i="5" s="1"/>
  <c r="H27" i="5"/>
  <c r="I27" i="5" s="1"/>
  <c r="H28" i="5"/>
  <c r="I28" i="5" s="1"/>
  <c r="H29" i="5"/>
  <c r="I29" i="5" s="1"/>
  <c r="H30" i="5"/>
  <c r="I30" i="5" s="1"/>
  <c r="H31" i="5"/>
  <c r="I31" i="5" s="1"/>
  <c r="H32" i="5"/>
  <c r="I32" i="5" s="1"/>
  <c r="H33" i="5"/>
  <c r="I33" i="5" s="1"/>
  <c r="H34" i="5"/>
  <c r="I34" i="5" s="1"/>
  <c r="H35" i="5"/>
  <c r="I35" i="5" s="1"/>
  <c r="H36" i="5"/>
  <c r="I36" i="5" s="1"/>
  <c r="H37" i="5"/>
  <c r="I37" i="5" s="1"/>
  <c r="H38" i="5"/>
  <c r="I38" i="5" s="1"/>
  <c r="H39" i="5"/>
  <c r="I39" i="5" s="1"/>
  <c r="H40" i="5"/>
  <c r="I40" i="5" s="1"/>
  <c r="H41" i="5"/>
  <c r="I41" i="5" s="1"/>
  <c r="H42" i="5"/>
  <c r="I42" i="5" s="1"/>
  <c r="H43" i="5"/>
  <c r="I43" i="5" s="1"/>
  <c r="H44" i="5"/>
  <c r="I44" i="5" s="1"/>
  <c r="H45" i="5"/>
  <c r="I45" i="5" s="1"/>
  <c r="H46" i="5"/>
  <c r="I46" i="5" s="1"/>
  <c r="H47" i="5"/>
  <c r="I47" i="5" s="1"/>
  <c r="H48" i="5"/>
  <c r="I48" i="5" s="1"/>
  <c r="H49" i="5"/>
  <c r="I49" i="5" s="1"/>
  <c r="H50" i="5"/>
  <c r="I50" i="5" s="1"/>
  <c r="H51" i="5"/>
  <c r="I51" i="5" s="1"/>
  <c r="H52" i="5"/>
  <c r="I52" i="5" s="1"/>
  <c r="H53" i="5"/>
  <c r="I53" i="5" s="1"/>
  <c r="H54" i="5"/>
  <c r="I54" i="5" s="1"/>
  <c r="H19" i="5"/>
  <c r="I19" i="5" s="1"/>
  <c r="I19" i="4"/>
  <c r="J19" i="4" s="1"/>
  <c r="M7" i="4"/>
  <c r="U19" i="4"/>
  <c r="V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M4" i="5" l="1"/>
  <c r="M6" i="5" s="1"/>
  <c r="M3" i="5"/>
  <c r="M4" i="4"/>
  <c r="M5" i="4" s="1"/>
  <c r="M3" i="4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19" i="3"/>
  <c r="M5" i="5" l="1"/>
  <c r="M6" i="4"/>
  <c r="M7" i="3"/>
  <c r="U19" i="3"/>
  <c r="V19" i="3" s="1"/>
  <c r="J19" i="3"/>
  <c r="M3" i="3" l="1"/>
  <c r="M4" i="3"/>
  <c r="M5" i="3" s="1"/>
  <c r="M6" i="3" l="1"/>
</calcChain>
</file>

<file path=xl/sharedStrings.xml><?xml version="1.0" encoding="utf-8"?>
<sst xmlns="http://schemas.openxmlformats.org/spreadsheetml/2006/main" count="145" uniqueCount="35">
  <si>
    <t>Date</t>
  </si>
  <si>
    <t>NAMAC</t>
  </si>
  <si>
    <t>NAHFI</t>
  </si>
  <si>
    <t>NAARB</t>
  </si>
  <si>
    <t>NALRG</t>
  </si>
  <si>
    <t>NAFIX</t>
  </si>
  <si>
    <t>NASML</t>
  </si>
  <si>
    <t>NALSH</t>
  </si>
  <si>
    <t>Style Analysis</t>
  </si>
  <si>
    <t>Solver - Style Model</t>
  </si>
  <si>
    <t xml:space="preserve">Mean Error </t>
  </si>
  <si>
    <t>Target cell</t>
  </si>
  <si>
    <t>Changing cells</t>
  </si>
  <si>
    <t>Error Variance</t>
  </si>
  <si>
    <t>Constraints</t>
  </si>
  <si>
    <t>Active Std Deviation</t>
  </si>
  <si>
    <t>Style Weights</t>
  </si>
  <si>
    <t>min</t>
  </si>
  <si>
    <t>weight</t>
  </si>
  <si>
    <t>max</t>
  </si>
  <si>
    <t>Style</t>
  </si>
  <si>
    <t>Error</t>
  </si>
  <si>
    <t>ChangeWeights</t>
  </si>
  <si>
    <t>MinWeights</t>
  </si>
  <si>
    <t>MaxWeights</t>
  </si>
  <si>
    <t>StyleWeights &gt;= MinWeights</t>
  </si>
  <si>
    <t>StyleWeights &lt;= MaxWeights</t>
  </si>
  <si>
    <t>ErrVariance</t>
  </si>
  <si>
    <t>StyleWeights/ChangeWeights(not bold)</t>
  </si>
  <si>
    <t>Test Prediction of Following Month</t>
  </si>
  <si>
    <t>Errors</t>
  </si>
  <si>
    <t>EV*10000</t>
  </si>
  <si>
    <t>Total weights</t>
  </si>
  <si>
    <t>MinWeights</t>
    <phoneticPr fontId="9" type="noConversion"/>
  </si>
  <si>
    <t>MaxWeights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</si>
</sst>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%"/>
    <numFmt numFmtId="178" formatCode="0.0000%"/>
  </numFmts>
  <fonts count="10" x14ac:knownFonts="1">
    <font>
      <sz val="11"/>
      <color theme="1"/>
      <name val="等线"/>
      <family val="2"/>
      <scheme val="minor"/>
    </font>
    <font>
      <b/>
      <u/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b/>
      <i/>
      <u/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b/>
      <sz val="11"/>
      <name val="等线"/>
      <family val="2"/>
      <scheme val="minor"/>
    </font>
    <font>
      <i/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28">
    <xf numFmtId="0" fontId="0" fillId="0" borderId="0" xfId="0"/>
    <xf numFmtId="14" fontId="0" fillId="4" borderId="1" xfId="0" applyNumberFormat="1" applyFill="1" applyBorder="1"/>
    <xf numFmtId="10" fontId="0" fillId="4" borderId="1" xfId="0" applyNumberFormat="1" applyFill="1" applyBorder="1"/>
    <xf numFmtId="0" fontId="1" fillId="5" borderId="0" xfId="0" applyFont="1" applyFill="1" applyAlignment="1">
      <alignment horizontal="right"/>
    </xf>
    <xf numFmtId="0" fontId="3" fillId="0" borderId="0" xfId="0" applyFont="1"/>
    <xf numFmtId="0" fontId="0" fillId="0" borderId="0" xfId="0" quotePrefix="1" applyAlignment="1">
      <alignment horizontal="left"/>
    </xf>
    <xf numFmtId="176" fontId="4" fillId="0" borderId="0" xfId="2" applyNumberFormat="1" applyFont="1"/>
    <xf numFmtId="177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5" borderId="0" xfId="0" applyFont="1" applyFill="1" applyAlignment="1">
      <alignment horizontal="right"/>
    </xf>
    <xf numFmtId="0" fontId="0" fillId="0" borderId="0" xfId="0" quotePrefix="1" applyFont="1" applyAlignment="1">
      <alignment horizontal="left"/>
    </xf>
    <xf numFmtId="0" fontId="0" fillId="0" borderId="0" xfId="0" applyFont="1"/>
    <xf numFmtId="0" fontId="6" fillId="0" borderId="0" xfId="0" quotePrefix="1" applyFont="1" applyAlignment="1">
      <alignment horizontal="left"/>
    </xf>
    <xf numFmtId="0" fontId="6" fillId="0" borderId="0" xfId="0" applyFont="1"/>
    <xf numFmtId="0" fontId="8" fillId="0" borderId="0" xfId="0" quotePrefix="1" applyFont="1" applyAlignment="1">
      <alignment horizontal="left"/>
    </xf>
    <xf numFmtId="177" fontId="7" fillId="3" borderId="1" xfId="0" applyNumberFormat="1" applyFont="1" applyFill="1" applyBorder="1"/>
    <xf numFmtId="177" fontId="0" fillId="2" borderId="1" xfId="0" applyNumberFormat="1" applyFill="1" applyBorder="1"/>
    <xf numFmtId="177" fontId="8" fillId="0" borderId="0" xfId="0" applyNumberFormat="1" applyFont="1"/>
    <xf numFmtId="0" fontId="8" fillId="0" borderId="0" xfId="0" applyFont="1"/>
    <xf numFmtId="176" fontId="6" fillId="3" borderId="1" xfId="2" applyNumberFormat="1" applyFont="1" applyFill="1" applyBorder="1"/>
    <xf numFmtId="10" fontId="2" fillId="3" borderId="1" xfId="1" applyNumberFormat="1" applyFont="1" applyFill="1" applyBorder="1"/>
    <xf numFmtId="177" fontId="0" fillId="3" borderId="1" xfId="0" applyNumberFormat="1" applyFill="1" applyBorder="1"/>
    <xf numFmtId="10" fontId="6" fillId="3" borderId="1" xfId="1" applyNumberFormat="1" applyFont="1" applyFill="1" applyBorder="1"/>
    <xf numFmtId="178" fontId="6" fillId="3" borderId="1" xfId="1" applyNumberFormat="1" applyFont="1" applyFill="1" applyBorder="1"/>
    <xf numFmtId="0" fontId="8" fillId="0" borderId="0" xfId="0" applyFont="1" applyAlignment="1">
      <alignment horizontal="right"/>
    </xf>
    <xf numFmtId="10" fontId="0" fillId="6" borderId="1" xfId="0" applyNumberFormat="1" applyFill="1" applyBorder="1"/>
    <xf numFmtId="14" fontId="0" fillId="0" borderId="0" xfId="0" applyNumberFormat="1"/>
  </cellXfs>
  <cellStyles count="3">
    <cellStyle name="Normal" xfId="0" builtinId="0"/>
    <cellStyle name="Normal_Style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H258"/>
  <sheetViews>
    <sheetView topLeftCell="A232" workbookViewId="0">
      <selection activeCell="A218" sqref="A218:H253"/>
    </sheetView>
  </sheetViews>
  <sheetFormatPr defaultRowHeight="13.8" x14ac:dyDescent="0.25"/>
  <cols>
    <col min="1" max="1" width="10.44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27">
        <v>36556</v>
      </c>
      <c r="B2">
        <v>8.3431373059997208E-3</v>
      </c>
      <c r="C2">
        <v>1.0433441280544499E-2</v>
      </c>
      <c r="D2">
        <v>1.42198052741192E-2</v>
      </c>
      <c r="E2">
        <v>-2.3443427892272102E-3</v>
      </c>
      <c r="F2">
        <v>-3.5047249018673298E-3</v>
      </c>
      <c r="G2">
        <v>1.4715572219063E-2</v>
      </c>
      <c r="H2">
        <v>1.10953067601843E-2</v>
      </c>
    </row>
    <row r="3" spans="1:8" x14ac:dyDescent="0.25">
      <c r="A3" s="27">
        <v>36585</v>
      </c>
      <c r="B3">
        <v>4.0232318273999701E-2</v>
      </c>
      <c r="C3">
        <v>6.89625526632478E-2</v>
      </c>
      <c r="D3">
        <v>2.4521471997411698E-2</v>
      </c>
      <c r="E3">
        <v>5.8124024427525104E-3</v>
      </c>
      <c r="F3">
        <v>1.9145824662752699E-2</v>
      </c>
      <c r="G3">
        <v>4.6290456183103401E-2</v>
      </c>
      <c r="H3">
        <v>0.10355092323005299</v>
      </c>
    </row>
    <row r="4" spans="1:8" x14ac:dyDescent="0.25">
      <c r="A4" s="27">
        <v>36616</v>
      </c>
      <c r="B4">
        <v>7.1729065231999692E-2</v>
      </c>
      <c r="C4">
        <v>1.6462194737586599E-2</v>
      </c>
      <c r="D4">
        <v>1.4487863984555999E-2</v>
      </c>
      <c r="E4">
        <v>1.5025878770159101E-2</v>
      </c>
      <c r="F4">
        <v>-4.0167861423400604E-3</v>
      </c>
      <c r="G4">
        <v>2.27296322559658E-2</v>
      </c>
      <c r="H4">
        <v>2.4335717282220899E-2</v>
      </c>
    </row>
    <row r="5" spans="1:8" x14ac:dyDescent="0.25">
      <c r="A5" s="27">
        <v>36646</v>
      </c>
      <c r="B5">
        <v>-1.14475372819994E-2</v>
      </c>
      <c r="C5">
        <v>-1.11490433787225E-2</v>
      </c>
      <c r="D5">
        <v>1.0440585640134501E-2</v>
      </c>
      <c r="E5">
        <v>-7.3321838048905795E-3</v>
      </c>
      <c r="F5">
        <v>-1.1001401922646901E-2</v>
      </c>
      <c r="G5">
        <v>-4.1570875451741101E-3</v>
      </c>
      <c r="H5">
        <v>-1.4171796381388199E-2</v>
      </c>
    </row>
    <row r="6" spans="1:8" x14ac:dyDescent="0.25">
      <c r="A6" s="27">
        <v>36677</v>
      </c>
      <c r="B6">
        <v>4.2100544547999101E-2</v>
      </c>
      <c r="C6">
        <v>-2.9735423521767401E-4</v>
      </c>
      <c r="D6">
        <v>1.29090494156317E-2</v>
      </c>
      <c r="E6">
        <v>3.77883396131497E-3</v>
      </c>
      <c r="F6">
        <v>-8.25955017560304E-3</v>
      </c>
      <c r="G6">
        <v>4.3804519525169503E-3</v>
      </c>
      <c r="H6">
        <v>-3.2130104838464803E-3</v>
      </c>
    </row>
    <row r="7" spans="1:8" x14ac:dyDescent="0.25">
      <c r="A7" s="27">
        <v>36707</v>
      </c>
      <c r="B7">
        <v>9.4765177120010799E-3</v>
      </c>
      <c r="C7">
        <v>3.34392062636212E-2</v>
      </c>
      <c r="D7">
        <v>2.1123844718409401E-2</v>
      </c>
      <c r="E7">
        <v>1.10890275051329E-2</v>
      </c>
      <c r="F7">
        <v>1.3940193231118302E-2</v>
      </c>
      <c r="G7">
        <v>2.3994545590841798E-2</v>
      </c>
      <c r="H7">
        <v>4.5710933418880204E-2</v>
      </c>
    </row>
    <row r="8" spans="1:8" x14ac:dyDescent="0.25">
      <c r="A8" s="27">
        <v>36738</v>
      </c>
      <c r="B8">
        <v>-6.8153903450001796E-3</v>
      </c>
      <c r="C8">
        <v>2.32117383147265E-3</v>
      </c>
      <c r="D8">
        <v>9.1697882489832801E-3</v>
      </c>
      <c r="E8">
        <v>5.8838544881252997E-4</v>
      </c>
      <c r="F8">
        <v>4.0453842575149104E-3</v>
      </c>
      <c r="G8">
        <v>6.2653346467688295E-3</v>
      </c>
      <c r="H8">
        <v>3.3095569279782099E-3</v>
      </c>
    </row>
    <row r="9" spans="1:8" x14ac:dyDescent="0.25">
      <c r="A9" s="27">
        <v>36769</v>
      </c>
      <c r="B9">
        <v>3.2011562370000399E-2</v>
      </c>
      <c r="C9">
        <v>4.55610413025248E-2</v>
      </c>
      <c r="D9">
        <v>1.72919717219111E-2</v>
      </c>
      <c r="E9">
        <v>2.9925867042743502E-2</v>
      </c>
      <c r="F9">
        <v>2.0900985670808198E-2</v>
      </c>
      <c r="G9">
        <v>4.5848539338585396E-2</v>
      </c>
      <c r="H9">
        <v>5.7318445162904699E-2</v>
      </c>
    </row>
    <row r="10" spans="1:8" x14ac:dyDescent="0.25">
      <c r="A10" s="27">
        <v>36799</v>
      </c>
      <c r="B10">
        <v>8.7284203249997014E-3</v>
      </c>
      <c r="C10">
        <v>6.1691337272098004E-3</v>
      </c>
      <c r="D10">
        <v>1.44738368686312E-2</v>
      </c>
      <c r="E10">
        <v>-1.0815909480590601E-2</v>
      </c>
      <c r="F10">
        <v>1.14454278666959E-2</v>
      </c>
      <c r="G10">
        <v>9.7357704552876404E-3</v>
      </c>
      <c r="H10">
        <v>7.0059189015809799E-3</v>
      </c>
    </row>
    <row r="11" spans="1:8" x14ac:dyDescent="0.25">
      <c r="A11" s="27">
        <v>36830</v>
      </c>
      <c r="B11">
        <v>4.26300340833292E-3</v>
      </c>
      <c r="C11">
        <v>-2.1256665355073503E-3</v>
      </c>
      <c r="D11">
        <v>5.2971776530879198E-3</v>
      </c>
      <c r="E11">
        <v>2.40603400273804E-4</v>
      </c>
      <c r="F11">
        <v>2.28510363748543E-3</v>
      </c>
      <c r="G11">
        <v>7.0869338336252696E-3</v>
      </c>
      <c r="H11">
        <v>-4.9491175001526696E-3</v>
      </c>
    </row>
    <row r="12" spans="1:8" x14ac:dyDescent="0.25">
      <c r="A12" s="27">
        <v>36860</v>
      </c>
      <c r="B12">
        <v>2.1272170345000001E-2</v>
      </c>
      <c r="C12">
        <v>-1.41849371277456E-2</v>
      </c>
      <c r="D12">
        <v>-1.3416166313918098E-3</v>
      </c>
      <c r="E12">
        <v>4.4730543651530603E-3</v>
      </c>
      <c r="F12">
        <v>-1.44220874038827E-3</v>
      </c>
      <c r="G12">
        <v>4.5337068584112399E-3</v>
      </c>
      <c r="H12">
        <v>-2.8118605054196201E-2</v>
      </c>
    </row>
    <row r="13" spans="1:8" x14ac:dyDescent="0.25">
      <c r="A13" s="27">
        <v>36891</v>
      </c>
      <c r="B13">
        <v>3.4546701884999899E-2</v>
      </c>
      <c r="C13">
        <v>3.5691507986925698E-2</v>
      </c>
      <c r="D13">
        <v>8.5351959986309997E-3</v>
      </c>
      <c r="E13">
        <v>2.6094145537972898E-2</v>
      </c>
      <c r="F13">
        <v>2.8606565901617399E-2</v>
      </c>
      <c r="G13">
        <v>4.4605028139198699E-2</v>
      </c>
      <c r="H13">
        <v>3.7920063233393898E-2</v>
      </c>
    </row>
    <row r="14" spans="1:8" x14ac:dyDescent="0.25">
      <c r="A14" s="27">
        <v>36922</v>
      </c>
      <c r="B14">
        <v>2.0603073283335599E-3</v>
      </c>
      <c r="C14">
        <v>3.4408372805334098E-2</v>
      </c>
      <c r="D14">
        <v>2.58512711851915E-2</v>
      </c>
      <c r="E14">
        <v>2.1027960556640801E-2</v>
      </c>
      <c r="F14">
        <v>5.3202771993302402E-2</v>
      </c>
      <c r="G14">
        <v>2.8791851688874898E-2</v>
      </c>
      <c r="H14">
        <v>3.50839003940525E-2</v>
      </c>
    </row>
    <row r="15" spans="1:8" x14ac:dyDescent="0.25">
      <c r="A15" s="27">
        <v>36950</v>
      </c>
      <c r="B15">
        <v>1.82903084866664E-2</v>
      </c>
      <c r="C15">
        <v>-5.9690749524707702E-3</v>
      </c>
      <c r="D15">
        <v>6.25578412466143E-3</v>
      </c>
      <c r="E15">
        <v>8.2108094198952899E-3</v>
      </c>
      <c r="F15">
        <v>1.2255133625997301E-2</v>
      </c>
      <c r="G15">
        <v>6.7904100243029201E-3</v>
      </c>
      <c r="H15">
        <v>-1.5975877352466802E-2</v>
      </c>
    </row>
    <row r="16" spans="1:8" x14ac:dyDescent="0.25">
      <c r="A16" s="27">
        <v>36981</v>
      </c>
      <c r="B16">
        <v>4.7107968300005403E-3</v>
      </c>
      <c r="C16">
        <v>-2.5935678175021699E-3</v>
      </c>
      <c r="D16">
        <v>2.4304390251503201E-3</v>
      </c>
      <c r="E16">
        <v>1.03406305139076E-2</v>
      </c>
      <c r="F16">
        <v>9.5213899672615693E-3</v>
      </c>
      <c r="G16">
        <v>1.0068417385875099E-2</v>
      </c>
      <c r="H16">
        <v>-1.1708829666548199E-2</v>
      </c>
    </row>
    <row r="17" spans="1:8" x14ac:dyDescent="0.25">
      <c r="A17" s="27">
        <v>37011</v>
      </c>
      <c r="B17">
        <v>-6.7266360116673895E-3</v>
      </c>
      <c r="C17">
        <v>1.9866080667568498E-2</v>
      </c>
      <c r="D17">
        <v>1.2834151287544599E-2</v>
      </c>
      <c r="E17">
        <v>-4.2972610276359002E-4</v>
      </c>
      <c r="F17">
        <v>1.7696252588860099E-2</v>
      </c>
      <c r="G17">
        <v>1.1098111494044599E-2</v>
      </c>
      <c r="H17">
        <v>3.1159250269219601E-2</v>
      </c>
    </row>
    <row r="18" spans="1:8" x14ac:dyDescent="0.25">
      <c r="A18" s="27">
        <v>37042</v>
      </c>
      <c r="B18">
        <v>1.2935302208334E-2</v>
      </c>
      <c r="C18">
        <v>2.0117489796487198E-2</v>
      </c>
      <c r="D18">
        <v>1.6011027209512599E-2</v>
      </c>
      <c r="E18">
        <v>2.3577692769065402E-3</v>
      </c>
      <c r="F18">
        <v>1.7168238926099099E-2</v>
      </c>
      <c r="G18">
        <v>2.38934528334433E-2</v>
      </c>
      <c r="H18">
        <v>2.1337318039848202E-2</v>
      </c>
    </row>
    <row r="19" spans="1:8" x14ac:dyDescent="0.25">
      <c r="A19" s="27">
        <v>37072</v>
      </c>
      <c r="B19">
        <v>-1.47126994583332E-2</v>
      </c>
      <c r="C19">
        <v>6.5812394443271402E-3</v>
      </c>
      <c r="D19">
        <v>4.5916501563105696E-3</v>
      </c>
      <c r="E19">
        <v>-2.1580127449809098E-3</v>
      </c>
      <c r="F19">
        <v>8.0101542304132998E-3</v>
      </c>
      <c r="G19">
        <v>1.3080412674256501E-2</v>
      </c>
      <c r="H19">
        <v>5.5980777479470098E-3</v>
      </c>
    </row>
    <row r="20" spans="1:8" x14ac:dyDescent="0.25">
      <c r="A20" s="27">
        <v>37103</v>
      </c>
      <c r="B20">
        <v>-1.3528596835001102E-2</v>
      </c>
      <c r="C20">
        <v>-1.54202003696632E-3</v>
      </c>
      <c r="D20">
        <v>9.6357379709007887E-3</v>
      </c>
      <c r="E20">
        <v>-8.6170138647372399E-3</v>
      </c>
      <c r="F20">
        <v>1.50572124336574E-2</v>
      </c>
      <c r="G20">
        <v>2.1004145980059101E-3</v>
      </c>
      <c r="H20">
        <v>-5.2867780861945105E-3</v>
      </c>
    </row>
    <row r="21" spans="1:8" x14ac:dyDescent="0.25">
      <c r="A21" s="27">
        <v>37134</v>
      </c>
      <c r="B21">
        <v>8.2251212483342388E-3</v>
      </c>
      <c r="C21">
        <v>6.6310508080187093E-4</v>
      </c>
      <c r="D21">
        <v>9.3409558963960301E-3</v>
      </c>
      <c r="E21">
        <v>-1.1612310842829501E-2</v>
      </c>
      <c r="F21">
        <v>1.7625135642670698E-2</v>
      </c>
      <c r="G21">
        <v>1.0316186476227601E-2</v>
      </c>
      <c r="H21">
        <v>-6.6381250733124593E-3</v>
      </c>
    </row>
    <row r="22" spans="1:8" x14ac:dyDescent="0.25">
      <c r="A22" s="27">
        <v>37164</v>
      </c>
      <c r="B22">
        <v>4.7179770238334501E-2</v>
      </c>
      <c r="C22">
        <v>-1.9784479860141299E-2</v>
      </c>
      <c r="D22">
        <v>-9.18563785874087E-3</v>
      </c>
      <c r="E22">
        <v>-8.52917785968005E-3</v>
      </c>
      <c r="F22">
        <v>3.9974385065345503E-3</v>
      </c>
      <c r="G22">
        <v>-2.4451625983195201E-3</v>
      </c>
      <c r="H22">
        <v>-3.28988016250523E-2</v>
      </c>
    </row>
    <row r="23" spans="1:8" x14ac:dyDescent="0.25">
      <c r="A23" s="27">
        <v>37195</v>
      </c>
      <c r="B23">
        <v>1.60756881833228E-3</v>
      </c>
      <c r="C23">
        <v>2.03493092082048E-2</v>
      </c>
      <c r="D23">
        <v>6.6872809508276001E-3</v>
      </c>
      <c r="E23">
        <v>2.7305068459545102E-2</v>
      </c>
      <c r="F23">
        <v>1.59390854406227E-2</v>
      </c>
      <c r="G23">
        <v>2.2924610687621701E-2</v>
      </c>
      <c r="H23">
        <v>2.2291182505234198E-2</v>
      </c>
    </row>
    <row r="24" spans="1:8" x14ac:dyDescent="0.25">
      <c r="A24" s="27">
        <v>37225</v>
      </c>
      <c r="B24">
        <v>-1.2003037437142402E-2</v>
      </c>
      <c r="C24">
        <v>1.5726968878733101E-2</v>
      </c>
      <c r="D24">
        <v>8.226085788259771E-3</v>
      </c>
      <c r="E24">
        <v>-5.7074728375025498E-3</v>
      </c>
      <c r="F24">
        <v>2.3518533432124001E-2</v>
      </c>
      <c r="G24">
        <v>7.8985311427353204E-3</v>
      </c>
      <c r="H24">
        <v>2.6506358164891899E-2</v>
      </c>
    </row>
    <row r="25" spans="1:8" x14ac:dyDescent="0.25">
      <c r="A25" s="27">
        <v>37256</v>
      </c>
      <c r="B25">
        <v>7.1440138300000403E-3</v>
      </c>
      <c r="C25">
        <v>1.7404834533615802E-2</v>
      </c>
      <c r="D25">
        <v>7.0018853678238801E-3</v>
      </c>
      <c r="E25">
        <v>8.2274603955949908E-4</v>
      </c>
      <c r="F25">
        <v>1.7259285766508502E-2</v>
      </c>
      <c r="G25">
        <v>1.52160377644594E-2</v>
      </c>
      <c r="H25">
        <v>2.36715526819762E-2</v>
      </c>
    </row>
    <row r="26" spans="1:8" x14ac:dyDescent="0.25">
      <c r="A26" s="27">
        <v>37287</v>
      </c>
      <c r="B26">
        <v>1.31437715514282E-2</v>
      </c>
      <c r="C26">
        <v>4.4027155521565295E-3</v>
      </c>
      <c r="D26">
        <v>1.2600758096352001E-2</v>
      </c>
      <c r="E26">
        <v>-2.9687960028600101E-3</v>
      </c>
      <c r="F26">
        <v>1.19002229567781E-2</v>
      </c>
      <c r="G26">
        <v>8.5678876578371196E-3</v>
      </c>
      <c r="H26">
        <v>1.46914901946818E-3</v>
      </c>
    </row>
    <row r="27" spans="1:8" x14ac:dyDescent="0.25">
      <c r="A27" s="27">
        <v>37315</v>
      </c>
      <c r="B27">
        <v>4.2304371237498204E-3</v>
      </c>
      <c r="C27">
        <v>-6.4980065423296696E-3</v>
      </c>
      <c r="D27">
        <v>5.6495350905068397E-3</v>
      </c>
      <c r="E27">
        <v>-7.98172874763769E-3</v>
      </c>
      <c r="F27">
        <v>6.7608143227407599E-3</v>
      </c>
      <c r="G27">
        <v>-2.05128615003428E-3</v>
      </c>
      <c r="H27">
        <v>-8.2965991679705593E-3</v>
      </c>
    </row>
    <row r="28" spans="1:8" x14ac:dyDescent="0.25">
      <c r="A28" s="27">
        <v>37346</v>
      </c>
      <c r="B28">
        <v>7.4357504972047093E-3</v>
      </c>
      <c r="C28">
        <v>1.91274495850372E-2</v>
      </c>
      <c r="D28">
        <v>7.0072294360819199E-3</v>
      </c>
      <c r="E28">
        <v>1.0235764367398299E-2</v>
      </c>
      <c r="F28">
        <v>1.12620670646894E-2</v>
      </c>
      <c r="G28">
        <v>1.36563967117443E-2</v>
      </c>
      <c r="H28">
        <v>2.3592023916975999E-2</v>
      </c>
    </row>
    <row r="29" spans="1:8" x14ac:dyDescent="0.25">
      <c r="A29" s="27">
        <v>37376</v>
      </c>
      <c r="B29">
        <v>1.3704530425561402E-2</v>
      </c>
      <c r="C29">
        <v>2.9823230414676898E-3</v>
      </c>
      <c r="D29">
        <v>8.1243625748541708E-3</v>
      </c>
      <c r="E29">
        <v>-7.9709741216171109E-3</v>
      </c>
      <c r="F29">
        <v>1.8057761430581101E-2</v>
      </c>
      <c r="G29">
        <v>1.2472030512640999E-2</v>
      </c>
      <c r="H29">
        <v>-1.59030241835927E-3</v>
      </c>
    </row>
    <row r="30" spans="1:8" x14ac:dyDescent="0.25">
      <c r="A30" s="27">
        <v>37407</v>
      </c>
      <c r="B30">
        <v>7.9006450369746295E-3</v>
      </c>
      <c r="C30">
        <v>5.0244671295850097E-3</v>
      </c>
      <c r="D30">
        <v>7.7348692311910803E-3</v>
      </c>
      <c r="E30">
        <v>5.6121228123702802E-3</v>
      </c>
      <c r="F30">
        <v>7.7919317644465401E-3</v>
      </c>
      <c r="G30">
        <v>1.12842470397239E-2</v>
      </c>
      <c r="H30">
        <v>-2.7531228708891696E-3</v>
      </c>
    </row>
    <row r="31" spans="1:8" x14ac:dyDescent="0.25">
      <c r="A31" s="27">
        <v>37437</v>
      </c>
      <c r="B31">
        <v>-1.6775489740321902E-2</v>
      </c>
      <c r="C31">
        <v>-8.6022256157873307E-3</v>
      </c>
      <c r="D31">
        <v>1.0252443822653399E-3</v>
      </c>
      <c r="E31">
        <v>-6.2310059235732998E-3</v>
      </c>
      <c r="F31">
        <v>1.5822626313956301E-3</v>
      </c>
      <c r="G31">
        <v>4.9266280592903397E-3</v>
      </c>
      <c r="H31">
        <v>-1.9024922404440401E-2</v>
      </c>
    </row>
    <row r="32" spans="1:8" x14ac:dyDescent="0.25">
      <c r="A32" s="27">
        <v>37468</v>
      </c>
      <c r="B32">
        <v>1.4929117411734599E-4</v>
      </c>
      <c r="C32">
        <v>-2.1299998649306602E-2</v>
      </c>
      <c r="D32">
        <v>2.4515061006401501E-4</v>
      </c>
      <c r="E32">
        <v>7.7379064248093701E-3</v>
      </c>
      <c r="F32">
        <v>-3.1197978978285499E-3</v>
      </c>
      <c r="G32">
        <v>-1.0860558843823601E-2</v>
      </c>
      <c r="H32">
        <v>-3.4664979621117399E-2</v>
      </c>
    </row>
    <row r="33" spans="1:8" x14ac:dyDescent="0.25">
      <c r="A33" s="27">
        <v>37499</v>
      </c>
      <c r="B33">
        <v>-1.1138473049260699E-2</v>
      </c>
      <c r="C33">
        <v>8.1133248496294101E-3</v>
      </c>
      <c r="D33">
        <v>5.3652613384356698E-3</v>
      </c>
      <c r="E33">
        <v>9.9970173338567708E-3</v>
      </c>
      <c r="F33">
        <v>6.5195492885290092E-3</v>
      </c>
      <c r="G33">
        <v>1.9173515181232902E-2</v>
      </c>
      <c r="H33">
        <v>5.26811434708484E-3</v>
      </c>
    </row>
    <row r="34" spans="1:8" x14ac:dyDescent="0.25">
      <c r="A34" s="27">
        <v>37529</v>
      </c>
      <c r="B34">
        <v>-3.07685023439437E-2</v>
      </c>
      <c r="C34">
        <v>-8.7098297555361602E-3</v>
      </c>
      <c r="D34">
        <v>6.61370274638713E-3</v>
      </c>
      <c r="E34">
        <v>9.3565108424311996E-3</v>
      </c>
      <c r="F34">
        <v>-4.4814431951342602E-3</v>
      </c>
      <c r="G34">
        <v>-5.1908076302971595E-3</v>
      </c>
      <c r="H34">
        <v>-1.65944814036777E-2</v>
      </c>
    </row>
    <row r="35" spans="1:8" x14ac:dyDescent="0.25">
      <c r="A35" s="27">
        <v>37560</v>
      </c>
      <c r="B35">
        <v>2.2034229548407801E-2</v>
      </c>
      <c r="C35">
        <v>7.5101652922924299E-3</v>
      </c>
      <c r="D35">
        <v>2.36895742891586E-3</v>
      </c>
      <c r="E35">
        <v>-9.8843574264366896E-3</v>
      </c>
      <c r="F35">
        <v>8.9380214183704797E-3</v>
      </c>
      <c r="G35">
        <v>6.9097636342848202E-3</v>
      </c>
      <c r="H35">
        <v>1.14398590024971E-2</v>
      </c>
    </row>
    <row r="36" spans="1:8" x14ac:dyDescent="0.25">
      <c r="A36" s="27">
        <v>37590</v>
      </c>
      <c r="B36">
        <v>2.7193901389768297E-2</v>
      </c>
      <c r="C36">
        <v>2.6449125226773899E-2</v>
      </c>
      <c r="D36">
        <v>1.5612941939004801E-2</v>
      </c>
      <c r="E36">
        <v>-2.8966191089042797E-3</v>
      </c>
      <c r="F36">
        <v>2.0648530838902199E-2</v>
      </c>
      <c r="G36">
        <v>2.36565418633621E-2</v>
      </c>
      <c r="H36">
        <v>3.0955682048242599E-2</v>
      </c>
    </row>
    <row r="37" spans="1:8" x14ac:dyDescent="0.25">
      <c r="A37" s="27">
        <v>37621</v>
      </c>
      <c r="B37">
        <v>6.9982685214988807E-3</v>
      </c>
      <c r="C37">
        <v>4.0847323406313805E-3</v>
      </c>
      <c r="D37">
        <v>1.0557582078633901E-2</v>
      </c>
      <c r="E37">
        <v>1.0614299862292899E-2</v>
      </c>
      <c r="F37">
        <v>2.0809063971681099E-2</v>
      </c>
      <c r="G37">
        <v>1.4977455308362699E-2</v>
      </c>
      <c r="H37">
        <v>-8.8916793060139394E-3</v>
      </c>
    </row>
    <row r="38" spans="1:8" x14ac:dyDescent="0.25">
      <c r="A38" s="27">
        <v>37652</v>
      </c>
      <c r="B38">
        <v>2.2971338996544799E-2</v>
      </c>
      <c r="C38">
        <v>1.1150931204661801E-2</v>
      </c>
      <c r="D38">
        <v>1.4054912963808598E-2</v>
      </c>
      <c r="E38">
        <v>2.28722166056907E-2</v>
      </c>
      <c r="F38">
        <v>1.6993397102774199E-2</v>
      </c>
      <c r="G38">
        <v>1.3807176204439999E-2</v>
      </c>
      <c r="H38">
        <v>3.69869730207857E-3</v>
      </c>
    </row>
    <row r="39" spans="1:8" x14ac:dyDescent="0.25">
      <c r="A39" s="27">
        <v>37680</v>
      </c>
      <c r="B39">
        <v>-7.4041100807464801E-7</v>
      </c>
      <c r="C39">
        <v>1.8131438995669898E-3</v>
      </c>
      <c r="D39">
        <v>9.3354583719045502E-3</v>
      </c>
      <c r="E39">
        <v>1.56967012497541E-2</v>
      </c>
      <c r="F39">
        <v>8.1069372028094392E-3</v>
      </c>
      <c r="G39">
        <v>2.5741478626731102E-3</v>
      </c>
      <c r="H39">
        <v>-4.5458615811426704E-3</v>
      </c>
    </row>
    <row r="40" spans="1:8" x14ac:dyDescent="0.25">
      <c r="A40" s="27">
        <v>37711</v>
      </c>
      <c r="B40">
        <v>-1.6092335192226401E-2</v>
      </c>
      <c r="C40">
        <v>2.5603953324535998E-3</v>
      </c>
      <c r="D40">
        <v>8.0352132051706507E-3</v>
      </c>
      <c r="E40">
        <v>-2.9477976687722399E-2</v>
      </c>
      <c r="F40">
        <v>9.4726679975114698E-3</v>
      </c>
      <c r="G40">
        <v>-1.13280423782663E-3</v>
      </c>
      <c r="H40">
        <v>6.4362771031762304E-3</v>
      </c>
    </row>
    <row r="41" spans="1:8" x14ac:dyDescent="0.25">
      <c r="A41" s="27">
        <v>37741</v>
      </c>
      <c r="B41">
        <v>2.9708137991424001E-2</v>
      </c>
      <c r="C41">
        <v>2.9612652631959498E-2</v>
      </c>
      <c r="D41">
        <v>1.0428427465086701E-2</v>
      </c>
      <c r="E41">
        <v>1.1820036424018101E-2</v>
      </c>
      <c r="F41">
        <v>2.0197034407074099E-2</v>
      </c>
      <c r="G41">
        <v>2.6145716884250599E-2</v>
      </c>
      <c r="H41">
        <v>3.2968160475535399E-2</v>
      </c>
    </row>
    <row r="42" spans="1:8" x14ac:dyDescent="0.25">
      <c r="A42" s="27">
        <v>37772</v>
      </c>
      <c r="B42">
        <v>8.2216538765127092E-2</v>
      </c>
      <c r="C42">
        <v>4.0304417266102802E-2</v>
      </c>
      <c r="D42">
        <v>1.44800214241595E-2</v>
      </c>
      <c r="E42">
        <v>3.1724277278161496E-2</v>
      </c>
      <c r="F42">
        <v>1.27411005486324E-2</v>
      </c>
      <c r="G42">
        <v>4.2789706892884895E-2</v>
      </c>
      <c r="H42">
        <v>4.778676636471E-2</v>
      </c>
    </row>
    <row r="43" spans="1:8" x14ac:dyDescent="0.25">
      <c r="A43" s="27">
        <v>37802</v>
      </c>
      <c r="B43">
        <v>6.29831599172565E-3</v>
      </c>
      <c r="C43">
        <v>1.2736645925011801E-2</v>
      </c>
      <c r="D43">
        <v>2.52400942297616E-3</v>
      </c>
      <c r="E43">
        <v>-2.96363409448836E-3</v>
      </c>
      <c r="F43">
        <v>1.25853341785235E-2</v>
      </c>
      <c r="G43">
        <v>1.1748158089150499E-2</v>
      </c>
      <c r="H43">
        <v>1.6039717025564899E-2</v>
      </c>
    </row>
    <row r="44" spans="1:8" x14ac:dyDescent="0.25">
      <c r="A44" s="27">
        <v>37833</v>
      </c>
      <c r="B44">
        <v>-5.5050172423337599E-3</v>
      </c>
      <c r="C44">
        <v>1.5175052922827299E-2</v>
      </c>
      <c r="D44">
        <v>1.5690700247308999E-3</v>
      </c>
      <c r="E44">
        <v>-2.32420098005022E-3</v>
      </c>
      <c r="F44">
        <v>7.9558507551934499E-3</v>
      </c>
      <c r="G44">
        <v>1.3306650686710299E-2</v>
      </c>
      <c r="H44">
        <v>2.0491440632407501E-2</v>
      </c>
    </row>
    <row r="45" spans="1:8" x14ac:dyDescent="0.25">
      <c r="A45" s="27">
        <v>37864</v>
      </c>
      <c r="B45">
        <v>3.0156829638811299E-2</v>
      </c>
      <c r="C45">
        <v>1.82537144194851E-2</v>
      </c>
      <c r="D45">
        <v>4.3367006269295003E-3</v>
      </c>
      <c r="E45">
        <v>3.8471290242407604E-3</v>
      </c>
      <c r="F45">
        <v>1.01544003206268E-2</v>
      </c>
      <c r="G45">
        <v>1.87994233177936E-2</v>
      </c>
      <c r="H45">
        <v>2.2022305005995498E-2</v>
      </c>
    </row>
    <row r="46" spans="1:8" x14ac:dyDescent="0.25">
      <c r="A46" s="27">
        <v>37894</v>
      </c>
      <c r="B46">
        <v>1.80940414092748E-2</v>
      </c>
      <c r="C46">
        <v>1.0257047899241801E-2</v>
      </c>
      <c r="D46">
        <v>1.14106436921499E-2</v>
      </c>
      <c r="E46">
        <v>3.0695036469812497E-3</v>
      </c>
      <c r="F46">
        <v>1.03850622264187E-2</v>
      </c>
      <c r="G46">
        <v>1.10307115204753E-2</v>
      </c>
      <c r="H46">
        <v>6.1607479829221597E-3</v>
      </c>
    </row>
    <row r="47" spans="1:8" x14ac:dyDescent="0.25">
      <c r="A47" s="27">
        <v>37925</v>
      </c>
      <c r="B47">
        <v>1.02040058258246E-2</v>
      </c>
      <c r="C47">
        <v>2.9265568957877498E-2</v>
      </c>
      <c r="D47">
        <v>1.3352052682414699E-2</v>
      </c>
      <c r="E47">
        <v>2.6361438991473397E-2</v>
      </c>
      <c r="F47">
        <v>1.36651821455799E-2</v>
      </c>
      <c r="G47">
        <v>3.8480069598833301E-2</v>
      </c>
      <c r="H47">
        <v>3.1680619062537198E-2</v>
      </c>
    </row>
    <row r="48" spans="1:8" x14ac:dyDescent="0.25">
      <c r="A48" s="27">
        <v>37955</v>
      </c>
      <c r="B48">
        <v>1.6364576712934401E-3</v>
      </c>
      <c r="C48">
        <v>1.4556486968966401E-2</v>
      </c>
      <c r="D48">
        <v>1.02924915882433E-2</v>
      </c>
      <c r="E48">
        <v>9.9405777591714192E-3</v>
      </c>
      <c r="F48">
        <v>1.07730952898551E-2</v>
      </c>
      <c r="G48">
        <v>1.55809452968528E-2</v>
      </c>
      <c r="H48">
        <v>1.7417819330182899E-2</v>
      </c>
    </row>
    <row r="49" spans="1:8" x14ac:dyDescent="0.25">
      <c r="A49" s="27">
        <v>37986</v>
      </c>
      <c r="B49">
        <v>3.8391296295847199E-2</v>
      </c>
      <c r="C49">
        <v>1.6811342491612501E-2</v>
      </c>
      <c r="D49">
        <v>1.0080581834028299E-2</v>
      </c>
      <c r="E49">
        <v>2.7875131491435799E-2</v>
      </c>
      <c r="F49">
        <v>1.5229485216438202E-2</v>
      </c>
      <c r="G49">
        <v>2.0242623005552497E-2</v>
      </c>
      <c r="H49">
        <v>1.4323157433306399E-2</v>
      </c>
    </row>
    <row r="50" spans="1:8" x14ac:dyDescent="0.25">
      <c r="A50" s="27">
        <v>38017</v>
      </c>
      <c r="B50">
        <v>1.5069874147435101E-2</v>
      </c>
      <c r="C50">
        <v>2.0274099812805601E-2</v>
      </c>
      <c r="D50">
        <v>1.0959097623508001E-2</v>
      </c>
      <c r="E50">
        <v>1.6374880997728502E-2</v>
      </c>
      <c r="F50">
        <v>1.3737187847688199E-2</v>
      </c>
      <c r="G50">
        <v>1.90218605303424E-2</v>
      </c>
      <c r="H50">
        <v>2.2100352989263897E-2</v>
      </c>
    </row>
    <row r="51" spans="1:8" x14ac:dyDescent="0.25">
      <c r="A51" s="27">
        <v>38046</v>
      </c>
      <c r="B51">
        <v>5.6948838481654695E-4</v>
      </c>
      <c r="C51">
        <v>1.4789195473080202E-2</v>
      </c>
      <c r="D51">
        <v>6.3820211784005902E-3</v>
      </c>
      <c r="E51">
        <v>9.8201851740139807E-3</v>
      </c>
      <c r="F51">
        <v>5.0228930040526398E-3</v>
      </c>
      <c r="G51">
        <v>2.1548846418707402E-2</v>
      </c>
      <c r="H51">
        <v>1.1105803000179099E-2</v>
      </c>
    </row>
    <row r="52" spans="1:8" x14ac:dyDescent="0.25">
      <c r="A52" s="27">
        <v>38077</v>
      </c>
      <c r="B52">
        <v>2.1444418766224202E-2</v>
      </c>
      <c r="C52">
        <v>3.87011221059448E-3</v>
      </c>
      <c r="D52">
        <v>3.19982821648862E-3</v>
      </c>
      <c r="E52">
        <v>-1.3115798460953099E-3</v>
      </c>
      <c r="F52">
        <v>6.8634806475819697E-3</v>
      </c>
      <c r="G52">
        <v>9.1650827134297699E-3</v>
      </c>
      <c r="H52">
        <v>1.0907307353485701E-3</v>
      </c>
    </row>
    <row r="53" spans="1:8" x14ac:dyDescent="0.25">
      <c r="A53" s="27">
        <v>38107</v>
      </c>
      <c r="B53">
        <v>-2.8183573427509E-2</v>
      </c>
      <c r="C53">
        <v>-1.2707675926602699E-2</v>
      </c>
      <c r="D53">
        <v>-1.07161469718736E-3</v>
      </c>
      <c r="E53">
        <v>-8.0052323764026306E-3</v>
      </c>
      <c r="F53">
        <v>-5.5281474940065795E-4</v>
      </c>
      <c r="G53">
        <v>-1.5086951293126901E-2</v>
      </c>
      <c r="H53">
        <v>-1.8611297499883703E-2</v>
      </c>
    </row>
    <row r="54" spans="1:8" x14ac:dyDescent="0.25">
      <c r="A54" s="27">
        <v>38138</v>
      </c>
      <c r="B54">
        <v>9.4047839074836298E-3</v>
      </c>
      <c r="C54">
        <v>2.0232347179445702E-3</v>
      </c>
      <c r="D54">
        <v>-4.9708063741307196E-6</v>
      </c>
      <c r="E54">
        <v>-5.67715550322244E-3</v>
      </c>
      <c r="F54">
        <v>6.9354077490222201E-4</v>
      </c>
      <c r="G54">
        <v>2.2658595700288898E-3</v>
      </c>
      <c r="H54">
        <v>4.0299584793493798E-3</v>
      </c>
    </row>
    <row r="55" spans="1:8" x14ac:dyDescent="0.25">
      <c r="A55" s="27">
        <v>38168</v>
      </c>
      <c r="B55">
        <v>-4.9110961726329099E-3</v>
      </c>
      <c r="C55">
        <v>8.7219234067049001E-3</v>
      </c>
      <c r="D55">
        <v>1.9644358870704202E-3</v>
      </c>
      <c r="E55">
        <v>7.0847378932293505E-3</v>
      </c>
      <c r="F55">
        <v>7.5790571830164199E-3</v>
      </c>
      <c r="G55">
        <v>1.0656849610554499E-2</v>
      </c>
      <c r="H55">
        <v>1.1161050738918502E-2</v>
      </c>
    </row>
    <row r="56" spans="1:8" x14ac:dyDescent="0.25">
      <c r="A56" s="27">
        <v>38199</v>
      </c>
      <c r="B56">
        <v>-7.4206822302245803E-3</v>
      </c>
      <c r="C56">
        <v>-1.0133792059768301E-2</v>
      </c>
      <c r="D56">
        <v>1.81941914722803E-3</v>
      </c>
      <c r="E56">
        <v>-4.42729071014709E-3</v>
      </c>
      <c r="F56">
        <v>6.7304397884021504E-3</v>
      </c>
      <c r="G56">
        <v>-4.5867387580778999E-3</v>
      </c>
      <c r="H56">
        <v>-1.9010821405827601E-2</v>
      </c>
    </row>
    <row r="57" spans="1:8" x14ac:dyDescent="0.25">
      <c r="A57" s="27">
        <v>38230</v>
      </c>
      <c r="B57">
        <v>-1.16678730607817E-2</v>
      </c>
      <c r="C57">
        <v>-3.1156482609573903E-4</v>
      </c>
      <c r="D57">
        <v>4.7103823557531196E-3</v>
      </c>
      <c r="E57">
        <v>2.8671975960522901E-3</v>
      </c>
      <c r="F57">
        <v>1.26131849405042E-2</v>
      </c>
      <c r="G57">
        <v>2.0144179103540098E-4</v>
      </c>
      <c r="H57">
        <v>-5.2320788299824198E-3</v>
      </c>
    </row>
    <row r="58" spans="1:8" x14ac:dyDescent="0.25">
      <c r="A58" s="27">
        <v>38260</v>
      </c>
      <c r="B58">
        <v>1.23784245517004E-2</v>
      </c>
      <c r="C58">
        <v>2.02978422156849E-2</v>
      </c>
      <c r="D58">
        <v>3.0704358146049797E-3</v>
      </c>
      <c r="E58">
        <v>9.8378362343915903E-3</v>
      </c>
      <c r="F58">
        <v>7.6524131150890592E-3</v>
      </c>
      <c r="G58">
        <v>2.30504649926494E-2</v>
      </c>
      <c r="H58">
        <v>2.4267434819321001E-2</v>
      </c>
    </row>
    <row r="59" spans="1:8" x14ac:dyDescent="0.25">
      <c r="A59" s="27">
        <v>38291</v>
      </c>
      <c r="B59">
        <v>2.3172882990438099E-3</v>
      </c>
      <c r="C59">
        <v>1.07579724365655E-2</v>
      </c>
      <c r="D59">
        <v>4.4237754096418504E-3</v>
      </c>
      <c r="E59">
        <v>4.3031586920364E-3</v>
      </c>
      <c r="F59">
        <v>9.8405895062607402E-3</v>
      </c>
      <c r="G59">
        <v>9.7368032902859711E-3</v>
      </c>
      <c r="H59">
        <v>9.7437476619148793E-3</v>
      </c>
    </row>
    <row r="60" spans="1:8" x14ac:dyDescent="0.25">
      <c r="A60" s="27">
        <v>38321</v>
      </c>
      <c r="B60">
        <v>6.0394815987015994E-2</v>
      </c>
      <c r="C60">
        <v>3.1847484022583701E-2</v>
      </c>
      <c r="D60">
        <v>7.4761645737657801E-3</v>
      </c>
      <c r="E60">
        <v>2.5944446773171502E-2</v>
      </c>
      <c r="F60">
        <v>1.19172140240621E-2</v>
      </c>
      <c r="G60">
        <v>3.2933690248768598E-2</v>
      </c>
      <c r="H60">
        <v>3.6124907188238402E-2</v>
      </c>
    </row>
    <row r="61" spans="1:8" x14ac:dyDescent="0.25">
      <c r="A61" s="27">
        <v>38352</v>
      </c>
      <c r="B61">
        <v>-1.6648673680681899E-2</v>
      </c>
      <c r="C61">
        <v>1.6393987903804801E-2</v>
      </c>
      <c r="D61">
        <v>5.8763356312155303E-3</v>
      </c>
      <c r="E61">
        <v>1.6332742175709999E-2</v>
      </c>
      <c r="F61">
        <v>1.06655036422108E-2</v>
      </c>
      <c r="G61">
        <v>1.57732692595095E-2</v>
      </c>
      <c r="H61">
        <v>1.9564187385520002E-2</v>
      </c>
    </row>
    <row r="62" spans="1:8" x14ac:dyDescent="0.25">
      <c r="A62" s="27">
        <v>38383</v>
      </c>
      <c r="B62">
        <v>-4.3934834663703201E-3</v>
      </c>
      <c r="C62">
        <v>-5.0080447900754397E-3</v>
      </c>
      <c r="D62">
        <v>3.8904942683793602E-4</v>
      </c>
      <c r="E62">
        <v>-4.6890364269236403E-3</v>
      </c>
      <c r="F62">
        <v>2.2455467318693201E-3</v>
      </c>
      <c r="G62">
        <v>-5.80210313632028E-3</v>
      </c>
      <c r="H62">
        <v>-7.9076539360071699E-3</v>
      </c>
    </row>
    <row r="63" spans="1:8" x14ac:dyDescent="0.25">
      <c r="A63" s="27">
        <v>38411</v>
      </c>
      <c r="B63">
        <v>3.8006649447666303E-2</v>
      </c>
      <c r="C63">
        <v>1.3882068092512001E-2</v>
      </c>
      <c r="D63">
        <v>2.3814628607324302E-3</v>
      </c>
      <c r="E63">
        <v>9.167892950600099E-3</v>
      </c>
      <c r="F63">
        <v>9.9651929782284491E-3</v>
      </c>
      <c r="G63">
        <v>1.26475389252998E-2</v>
      </c>
      <c r="H63">
        <v>1.78888232935632E-2</v>
      </c>
    </row>
    <row r="64" spans="1:8" x14ac:dyDescent="0.25">
      <c r="A64" s="27">
        <v>38442</v>
      </c>
      <c r="B64">
        <v>-2.6187145182007899E-3</v>
      </c>
      <c r="C64">
        <v>-4.75411105345228E-3</v>
      </c>
      <c r="D64">
        <v>-2.7126646274133396E-3</v>
      </c>
      <c r="E64">
        <v>-3.0545212220784903E-3</v>
      </c>
      <c r="F64">
        <v>-1.2509187690425598E-3</v>
      </c>
      <c r="G64">
        <v>-5.8215342532672498E-3</v>
      </c>
      <c r="H64">
        <v>-8.3367752238095207E-3</v>
      </c>
    </row>
    <row r="65" spans="1:8" x14ac:dyDescent="0.25">
      <c r="A65" s="27">
        <v>38472</v>
      </c>
      <c r="B65">
        <v>-8.6322937228717495E-3</v>
      </c>
      <c r="C65">
        <v>-1.6486849738035301E-2</v>
      </c>
      <c r="D65">
        <v>-1.2387805002222101E-2</v>
      </c>
      <c r="E65">
        <v>-1.2231568105495701E-2</v>
      </c>
      <c r="F65">
        <v>-1.9608692079431701E-3</v>
      </c>
      <c r="G65">
        <v>-1.6532711384467502E-2</v>
      </c>
      <c r="H65">
        <v>-2.14180743886405E-2</v>
      </c>
    </row>
    <row r="66" spans="1:8" x14ac:dyDescent="0.25">
      <c r="A66" s="27">
        <v>38503</v>
      </c>
      <c r="B66">
        <v>6.5484713081268801E-3</v>
      </c>
      <c r="C66">
        <v>1.41952177804999E-2</v>
      </c>
      <c r="D66">
        <v>-2.0758049186239301E-3</v>
      </c>
      <c r="E66">
        <v>5.6547858335965293E-3</v>
      </c>
      <c r="F66">
        <v>6.8156229196697808E-3</v>
      </c>
      <c r="G66">
        <v>1.4753556793342998E-2</v>
      </c>
      <c r="H66">
        <v>1.76725610848559E-2</v>
      </c>
    </row>
    <row r="67" spans="1:8" x14ac:dyDescent="0.25">
      <c r="A67" s="27">
        <v>38533</v>
      </c>
      <c r="B67">
        <v>1.1519153445682599E-2</v>
      </c>
      <c r="C67">
        <v>1.6322433746071202E-2</v>
      </c>
      <c r="D67">
        <v>7.97941071968814E-3</v>
      </c>
      <c r="E67">
        <v>1.02552645377628E-2</v>
      </c>
      <c r="F67">
        <v>8.5577831222386595E-3</v>
      </c>
      <c r="G67">
        <v>1.7054416013242698E-2</v>
      </c>
      <c r="H67">
        <v>1.71643336414385E-2</v>
      </c>
    </row>
    <row r="68" spans="1:8" x14ac:dyDescent="0.25">
      <c r="A68" s="27">
        <v>38564</v>
      </c>
      <c r="B68">
        <v>3.76105255142271E-3</v>
      </c>
      <c r="C68">
        <v>2.0480497109395101E-2</v>
      </c>
      <c r="D68">
        <v>1.0171648646436099E-2</v>
      </c>
      <c r="E68">
        <v>1.4095567424811899E-2</v>
      </c>
      <c r="F68">
        <v>8.2456343222613096E-3</v>
      </c>
      <c r="G68">
        <v>2.09956306706435E-2</v>
      </c>
      <c r="H68">
        <v>2.71659564988442E-2</v>
      </c>
    </row>
    <row r="69" spans="1:8" x14ac:dyDescent="0.25">
      <c r="A69" s="27">
        <v>38595</v>
      </c>
      <c r="B69">
        <v>1.2031088371113099E-2</v>
      </c>
      <c r="C69">
        <v>7.2243113827666705E-3</v>
      </c>
      <c r="D69">
        <v>5.9352965016326795E-3</v>
      </c>
      <c r="E69">
        <v>1.10553548595751E-2</v>
      </c>
      <c r="F69">
        <v>4.3633150135873903E-3</v>
      </c>
      <c r="G69">
        <v>5.5099698305059496E-3</v>
      </c>
      <c r="H69">
        <v>5.58094545976082E-3</v>
      </c>
    </row>
    <row r="70" spans="1:8" x14ac:dyDescent="0.25">
      <c r="A70" s="27">
        <v>38625</v>
      </c>
      <c r="B70">
        <v>4.1184214267875198E-2</v>
      </c>
      <c r="C70">
        <v>1.3416342100120899E-2</v>
      </c>
      <c r="D70">
        <v>7.7672514539250202E-3</v>
      </c>
      <c r="E70">
        <v>1.1318987280104401E-2</v>
      </c>
      <c r="F70">
        <v>2.8292887460591E-3</v>
      </c>
      <c r="G70">
        <v>1.4159926709804999E-2</v>
      </c>
      <c r="H70">
        <v>1.56604652771885E-2</v>
      </c>
    </row>
    <row r="71" spans="1:8" x14ac:dyDescent="0.25">
      <c r="A71" s="27">
        <v>38656</v>
      </c>
      <c r="B71">
        <v>-3.5079314977336401E-3</v>
      </c>
      <c r="C71">
        <v>-7.3040456971840391E-3</v>
      </c>
      <c r="D71">
        <v>1.1942456712997101E-3</v>
      </c>
      <c r="E71">
        <v>-1.4571253247663001E-2</v>
      </c>
      <c r="F71">
        <v>2.3798285863550301E-3</v>
      </c>
      <c r="G71">
        <v>-8.9274773296967903E-3</v>
      </c>
      <c r="H71">
        <v>-1.4533095063355901E-2</v>
      </c>
    </row>
    <row r="72" spans="1:8" x14ac:dyDescent="0.25">
      <c r="A72" s="27">
        <v>38686</v>
      </c>
      <c r="B72">
        <v>9.9435148312123104E-4</v>
      </c>
      <c r="C72">
        <v>1.6729438539277299E-2</v>
      </c>
      <c r="D72">
        <v>3.43250652403978E-3</v>
      </c>
      <c r="E72">
        <v>1.3440387047575698E-2</v>
      </c>
      <c r="F72">
        <v>3.9278411148266903E-3</v>
      </c>
      <c r="G72">
        <v>1.7282433479280802E-2</v>
      </c>
      <c r="H72">
        <v>1.83599742358832E-2</v>
      </c>
    </row>
    <row r="73" spans="1:8" x14ac:dyDescent="0.25">
      <c r="A73" s="27">
        <v>38717</v>
      </c>
      <c r="B73">
        <v>4.4791148980040399E-2</v>
      </c>
      <c r="C73">
        <v>1.36603131354288E-2</v>
      </c>
      <c r="D73">
        <v>6.6262060904173402E-3</v>
      </c>
      <c r="E73">
        <v>1.1153011903902398E-2</v>
      </c>
      <c r="F73">
        <v>5.7924554039868702E-3</v>
      </c>
      <c r="G73">
        <v>1.19632322201475E-2</v>
      </c>
      <c r="H73">
        <v>1.5216372068513199E-2</v>
      </c>
    </row>
    <row r="74" spans="1:8" x14ac:dyDescent="0.25">
      <c r="A74" s="27">
        <v>38748</v>
      </c>
      <c r="B74">
        <v>3.7645468577386397E-2</v>
      </c>
      <c r="C74">
        <v>3.2717831856474401E-2</v>
      </c>
      <c r="D74">
        <v>1.8331321419954902E-2</v>
      </c>
      <c r="E74">
        <v>3.0934015026659999E-2</v>
      </c>
      <c r="F74">
        <v>9.6452029573071089E-3</v>
      </c>
      <c r="G74">
        <v>3.27211350876256E-2</v>
      </c>
      <c r="H74">
        <v>3.9485335817020004E-2</v>
      </c>
    </row>
    <row r="75" spans="1:8" x14ac:dyDescent="0.25">
      <c r="A75" s="27">
        <v>38776</v>
      </c>
      <c r="B75">
        <v>-1.3505166863749999E-2</v>
      </c>
      <c r="C75">
        <v>4.5738043311510899E-3</v>
      </c>
      <c r="D75">
        <v>1.0193066758967998E-2</v>
      </c>
      <c r="E75">
        <v>4.7849550296879997E-4</v>
      </c>
      <c r="F75">
        <v>6.3229901007003601E-3</v>
      </c>
      <c r="G75">
        <v>4.83404937571959E-3</v>
      </c>
      <c r="H75">
        <v>1.4677674342001802E-3</v>
      </c>
    </row>
    <row r="76" spans="1:8" x14ac:dyDescent="0.25">
      <c r="A76" s="27">
        <v>38807</v>
      </c>
      <c r="B76">
        <v>6.24864259615821E-3</v>
      </c>
      <c r="C76">
        <v>2.0878371955185302E-2</v>
      </c>
      <c r="D76">
        <v>1.0065706651901101E-2</v>
      </c>
      <c r="E76">
        <v>1.7823809407483699E-2</v>
      </c>
      <c r="F76">
        <v>6.6339666086753599E-3</v>
      </c>
      <c r="G76">
        <v>2.1543026417023201E-2</v>
      </c>
      <c r="H76">
        <v>2.1964210804725003E-2</v>
      </c>
    </row>
    <row r="77" spans="1:8" x14ac:dyDescent="0.25">
      <c r="A77" s="27">
        <v>38837</v>
      </c>
      <c r="B77">
        <v>1.0422096300370999E-2</v>
      </c>
      <c r="C77">
        <v>1.70279455485111E-2</v>
      </c>
      <c r="D77">
        <v>7.7553931667199106E-3</v>
      </c>
      <c r="E77">
        <v>1.7649959784092999E-2</v>
      </c>
      <c r="F77">
        <v>6.4801763264587097E-3</v>
      </c>
      <c r="G77">
        <v>1.5683453765235202E-2</v>
      </c>
      <c r="H77">
        <v>1.39960455308627E-2</v>
      </c>
    </row>
    <row r="78" spans="1:8" x14ac:dyDescent="0.25">
      <c r="A78" s="27">
        <v>38868</v>
      </c>
      <c r="B78">
        <v>1.7803597434701599E-2</v>
      </c>
      <c r="C78">
        <v>-5.9761187325495799E-3</v>
      </c>
      <c r="D78">
        <v>6.5729442999927501E-3</v>
      </c>
      <c r="E78">
        <v>-4.8698645855663903E-3</v>
      </c>
      <c r="F78">
        <v>5.77862222900981E-3</v>
      </c>
      <c r="G78">
        <v>-8.1028149743465408E-3</v>
      </c>
      <c r="H78">
        <v>-1.5715664961129302E-2</v>
      </c>
    </row>
    <row r="79" spans="1:8" x14ac:dyDescent="0.25">
      <c r="A79" s="27">
        <v>38898</v>
      </c>
      <c r="B79">
        <v>5.88174912622055E-3</v>
      </c>
      <c r="C79">
        <v>1.65866566884324E-3</v>
      </c>
      <c r="D79">
        <v>9.0714333734401593E-3</v>
      </c>
      <c r="E79">
        <v>4.1839295504905E-4</v>
      </c>
      <c r="F79">
        <v>1.41929758211372E-3</v>
      </c>
      <c r="G79">
        <v>8.4856809251651405E-4</v>
      </c>
      <c r="H79">
        <v>-1.6916331851437999E-3</v>
      </c>
    </row>
    <row r="80" spans="1:8" x14ac:dyDescent="0.25">
      <c r="A80" s="27">
        <v>38929</v>
      </c>
      <c r="B80">
        <v>2.0647497329404002E-5</v>
      </c>
      <c r="C80">
        <v>-2.4303100090156001E-3</v>
      </c>
      <c r="D80">
        <v>8.7002217107140598E-3</v>
      </c>
      <c r="E80">
        <v>1.7462214743732501E-5</v>
      </c>
      <c r="F80">
        <v>7.3859445545636608E-3</v>
      </c>
      <c r="G80">
        <v>-2.71762538777811E-3</v>
      </c>
      <c r="H80">
        <v>-4.0058224282391404E-3</v>
      </c>
    </row>
    <row r="81" spans="1:8" x14ac:dyDescent="0.25">
      <c r="A81" s="27">
        <v>38960</v>
      </c>
      <c r="B81">
        <v>5.6606057659854105E-3</v>
      </c>
      <c r="C81">
        <v>1.23493435486999E-2</v>
      </c>
      <c r="D81">
        <v>1.1339369306108899E-2</v>
      </c>
      <c r="E81">
        <v>9.7820792187012593E-3</v>
      </c>
      <c r="F81">
        <v>1.0342013073982801E-2</v>
      </c>
      <c r="G81">
        <v>1.16246539489273E-2</v>
      </c>
      <c r="H81">
        <v>1.2338841939537699E-2</v>
      </c>
    </row>
    <row r="82" spans="1:8" x14ac:dyDescent="0.25">
      <c r="A82" s="27">
        <v>38990</v>
      </c>
      <c r="B82">
        <v>-8.1860635718611404E-3</v>
      </c>
      <c r="C82">
        <v>2.8310928265695701E-3</v>
      </c>
      <c r="D82">
        <v>7.8318563575487301E-3</v>
      </c>
      <c r="E82">
        <v>-3.0994544418801802E-3</v>
      </c>
      <c r="F82">
        <v>9.9660711714064792E-3</v>
      </c>
      <c r="G82">
        <v>1.98975408671859E-3</v>
      </c>
      <c r="H82">
        <v>7.02389372299913E-4</v>
      </c>
    </row>
    <row r="83" spans="1:8" x14ac:dyDescent="0.25">
      <c r="A83" s="27">
        <v>39021</v>
      </c>
      <c r="B83">
        <v>-6.2797474676019507E-3</v>
      </c>
      <c r="C83">
        <v>1.7114256117327399E-2</v>
      </c>
      <c r="D83">
        <v>8.5504287071635297E-3</v>
      </c>
      <c r="E83">
        <v>2.12759654349935E-2</v>
      </c>
      <c r="F83">
        <v>6.7868607559964699E-3</v>
      </c>
      <c r="G83">
        <v>1.45883927045406E-2</v>
      </c>
      <c r="H83">
        <v>2.0213800705448801E-2</v>
      </c>
    </row>
    <row r="84" spans="1:8" x14ac:dyDescent="0.25">
      <c r="A84" s="27">
        <v>39051</v>
      </c>
      <c r="B84">
        <v>1.38569375071035E-2</v>
      </c>
      <c r="C84">
        <v>1.95963365489977E-2</v>
      </c>
      <c r="D84">
        <v>6.0987305589997199E-3</v>
      </c>
      <c r="E84">
        <v>2.3824221804393999E-2</v>
      </c>
      <c r="F84">
        <v>9.0253618557990002E-3</v>
      </c>
      <c r="G84">
        <v>1.8632089511605901E-2</v>
      </c>
      <c r="H84">
        <v>2.0397277809270902E-2</v>
      </c>
    </row>
    <row r="85" spans="1:8" x14ac:dyDescent="0.25">
      <c r="A85" s="27">
        <v>39082</v>
      </c>
      <c r="B85">
        <v>1.4238796863253801E-3</v>
      </c>
      <c r="C85">
        <v>1.09452494974949E-2</v>
      </c>
      <c r="D85">
        <v>1.4275525059668498E-2</v>
      </c>
      <c r="E85">
        <v>1.3709074458074798E-2</v>
      </c>
      <c r="F85">
        <v>8.8056399744955108E-3</v>
      </c>
      <c r="G85">
        <v>1.13223425642231E-2</v>
      </c>
      <c r="H85">
        <v>9.9589592186108498E-3</v>
      </c>
    </row>
    <row r="86" spans="1:8" x14ac:dyDescent="0.25">
      <c r="A86" s="27">
        <v>39113</v>
      </c>
      <c r="B86">
        <v>-1.8257581769984699E-3</v>
      </c>
      <c r="C86">
        <v>1.33825060101221E-2</v>
      </c>
      <c r="D86">
        <v>1.22220410219172E-2</v>
      </c>
      <c r="E86">
        <v>1.6174030711744301E-2</v>
      </c>
      <c r="F86">
        <v>1.0567878547128E-2</v>
      </c>
      <c r="G86">
        <v>1.33000746759388E-2</v>
      </c>
      <c r="H86">
        <v>1.1991612874782899E-2</v>
      </c>
    </row>
    <row r="87" spans="1:8" x14ac:dyDescent="0.25">
      <c r="A87" s="27">
        <v>39141</v>
      </c>
      <c r="B87">
        <v>1.0866669712437301E-2</v>
      </c>
      <c r="C87">
        <v>7.4103288205524401E-3</v>
      </c>
      <c r="D87">
        <v>9.0938293850198297E-3</v>
      </c>
      <c r="E87">
        <v>9.6757585167723502E-3</v>
      </c>
      <c r="F87">
        <v>1.0626315974784899E-2</v>
      </c>
      <c r="G87">
        <v>4.5478562379584093E-3</v>
      </c>
      <c r="H87">
        <v>7.5794599725258005E-3</v>
      </c>
    </row>
    <row r="88" spans="1:8" x14ac:dyDescent="0.25">
      <c r="A88" s="27">
        <v>39172</v>
      </c>
      <c r="B88">
        <v>1.97555089823634E-2</v>
      </c>
      <c r="C88">
        <v>6.3372509818398004E-3</v>
      </c>
      <c r="D88">
        <v>5.6479276469046406E-3</v>
      </c>
      <c r="E88">
        <v>1.4327929493949001E-2</v>
      </c>
      <c r="F88">
        <v>4.5039702504559402E-3</v>
      </c>
      <c r="G88">
        <v>5.42249266512257E-3</v>
      </c>
      <c r="H88">
        <v>1.0301536975278001E-2</v>
      </c>
    </row>
    <row r="89" spans="1:8" x14ac:dyDescent="0.25">
      <c r="A89" s="27">
        <v>39202</v>
      </c>
      <c r="B89">
        <v>-4.4634858189461198E-3</v>
      </c>
      <c r="C89">
        <v>1.48073483748085E-2</v>
      </c>
      <c r="D89">
        <v>6.6555385609241404E-3</v>
      </c>
      <c r="E89">
        <v>2.2246248699112001E-2</v>
      </c>
      <c r="F89">
        <v>1.1398379686650998E-2</v>
      </c>
      <c r="G89">
        <v>1.4395708941657599E-2</v>
      </c>
      <c r="H89">
        <v>1.7110543353849299E-2</v>
      </c>
    </row>
    <row r="90" spans="1:8" x14ac:dyDescent="0.25">
      <c r="A90" s="27">
        <v>39233</v>
      </c>
      <c r="B90">
        <v>5.6359010313690805E-3</v>
      </c>
      <c r="C90">
        <v>1.92194930720581E-2</v>
      </c>
      <c r="D90">
        <v>1.06648136171853E-2</v>
      </c>
      <c r="E90">
        <v>2.0117838504921499E-2</v>
      </c>
      <c r="F90">
        <v>8.1248403688783093E-3</v>
      </c>
      <c r="G90">
        <v>1.8949397097548101E-2</v>
      </c>
      <c r="H90">
        <v>2.1478936687305401E-2</v>
      </c>
    </row>
    <row r="91" spans="1:8" x14ac:dyDescent="0.25">
      <c r="A91" s="27">
        <v>39263</v>
      </c>
      <c r="B91">
        <v>2.2076534695135697E-2</v>
      </c>
      <c r="C91">
        <v>7.5698625842497199E-3</v>
      </c>
      <c r="D91">
        <v>4.0503297630840101E-3</v>
      </c>
      <c r="E91">
        <v>5.4892676685156004E-3</v>
      </c>
      <c r="F91">
        <v>-2.7807250058021599E-3</v>
      </c>
      <c r="G91">
        <v>8.325260833540819E-3</v>
      </c>
      <c r="H91">
        <v>6.3033523209574506E-3</v>
      </c>
    </row>
    <row r="92" spans="1:8" x14ac:dyDescent="0.25">
      <c r="A92" s="27">
        <v>39294</v>
      </c>
      <c r="B92">
        <v>4.5716758774100599E-2</v>
      </c>
      <c r="C92">
        <v>-2.9714602393915001E-3</v>
      </c>
      <c r="D92">
        <v>-3.44324089742908E-3</v>
      </c>
      <c r="E92">
        <v>-7.3240793386773898E-3</v>
      </c>
      <c r="F92">
        <v>-6.9359819436629606E-5</v>
      </c>
      <c r="G92">
        <v>-3.2508448796091001E-3</v>
      </c>
      <c r="H92">
        <v>-2.0881708329231899E-3</v>
      </c>
    </row>
    <row r="93" spans="1:8" x14ac:dyDescent="0.25">
      <c r="A93" s="27">
        <v>39325</v>
      </c>
      <c r="B93">
        <v>2.49798469924585E-3</v>
      </c>
      <c r="C93">
        <v>-4.2172435411830097E-3</v>
      </c>
      <c r="D93">
        <v>-5.9254656733828508E-3</v>
      </c>
      <c r="E93">
        <v>-1.38153614391337E-2</v>
      </c>
      <c r="F93">
        <v>-2.98271921257933E-3</v>
      </c>
      <c r="G93">
        <v>-5.2789080784073905E-3</v>
      </c>
      <c r="H93">
        <v>-8.4705560433649099E-4</v>
      </c>
    </row>
    <row r="94" spans="1:8" x14ac:dyDescent="0.25">
      <c r="A94" s="27">
        <v>39355</v>
      </c>
      <c r="B94">
        <v>7.930545229724149E-4</v>
      </c>
      <c r="C94">
        <v>2.7249980473122402E-2</v>
      </c>
      <c r="D94">
        <v>1.4425286941662801E-2</v>
      </c>
      <c r="E94">
        <v>2.4509635709198001E-2</v>
      </c>
      <c r="F94">
        <v>1.71569435467381E-2</v>
      </c>
      <c r="G94">
        <v>3.0221814497131301E-2</v>
      </c>
      <c r="H94">
        <v>2.7666438913033099E-2</v>
      </c>
    </row>
    <row r="95" spans="1:8" x14ac:dyDescent="0.25">
      <c r="A95" s="27">
        <v>39386</v>
      </c>
      <c r="B95">
        <v>2.3513252533192201E-2</v>
      </c>
      <c r="C95">
        <v>2.6760815258154901E-2</v>
      </c>
      <c r="D95">
        <v>1.3244013180486999E-2</v>
      </c>
      <c r="E95">
        <v>3.3371745450934499E-2</v>
      </c>
      <c r="F95">
        <v>1.2626113745256599E-2</v>
      </c>
      <c r="G95">
        <v>2.6923807404955601E-2</v>
      </c>
      <c r="H95">
        <v>3.1533906029311498E-2</v>
      </c>
    </row>
    <row r="96" spans="1:8" x14ac:dyDescent="0.25">
      <c r="A96" s="27">
        <v>39416</v>
      </c>
      <c r="B96">
        <v>2.0700810327328099E-2</v>
      </c>
      <c r="C96">
        <v>-1.08248037475839E-2</v>
      </c>
      <c r="D96">
        <v>-1.18285761260166E-3</v>
      </c>
      <c r="E96">
        <v>-1.8642501936900001E-2</v>
      </c>
      <c r="F96">
        <v>-6.4592178115113197E-3</v>
      </c>
      <c r="G96">
        <v>-7.7602488129005897E-3</v>
      </c>
      <c r="H96">
        <v>-2.2645082481142401E-2</v>
      </c>
    </row>
    <row r="97" spans="1:8" x14ac:dyDescent="0.25">
      <c r="A97" s="27">
        <v>39447</v>
      </c>
      <c r="B97">
        <v>8.0653028094025397E-3</v>
      </c>
      <c r="C97">
        <v>1.2111621097406499E-2</v>
      </c>
      <c r="D97">
        <v>1.7600205347276701E-3</v>
      </c>
      <c r="E97">
        <v>6.7894392431927996E-3</v>
      </c>
      <c r="F97">
        <v>1.7287257985845999E-4</v>
      </c>
      <c r="G97">
        <v>1.28996143608027E-2</v>
      </c>
      <c r="H97">
        <v>1.1119990813435501E-2</v>
      </c>
    </row>
    <row r="98" spans="1:8" x14ac:dyDescent="0.25">
      <c r="A98" s="27">
        <v>39478</v>
      </c>
      <c r="B98">
        <v>2.8180303540285001E-2</v>
      </c>
      <c r="C98">
        <v>-1.6865958711286398E-2</v>
      </c>
      <c r="D98">
        <v>3.6115516920457104E-3</v>
      </c>
      <c r="E98">
        <v>-3.6665523780089304E-2</v>
      </c>
      <c r="F98">
        <v>-2.4415963864089802E-3</v>
      </c>
      <c r="G98">
        <v>-1.5674071456432803E-2</v>
      </c>
      <c r="H98">
        <v>-3.48818485613746E-2</v>
      </c>
    </row>
    <row r="99" spans="1:8" x14ac:dyDescent="0.25">
      <c r="A99" s="27">
        <v>39507</v>
      </c>
      <c r="B99">
        <v>3.5183965998750302E-2</v>
      </c>
      <c r="C99">
        <v>1.8998048337881001E-2</v>
      </c>
      <c r="D99">
        <v>-3.5990246911177096E-3</v>
      </c>
      <c r="E99">
        <v>9.9482902905949494E-3</v>
      </c>
      <c r="F99">
        <v>-1.9611115505680397E-3</v>
      </c>
      <c r="G99">
        <v>2.1620375556671498E-2</v>
      </c>
      <c r="H99">
        <v>9.9394631626136092E-3</v>
      </c>
    </row>
    <row r="100" spans="1:8" x14ac:dyDescent="0.25">
      <c r="A100" s="27">
        <v>39538</v>
      </c>
      <c r="B100">
        <v>7.8130120638533404E-3</v>
      </c>
      <c r="C100">
        <v>-9.9426120412737795E-3</v>
      </c>
      <c r="D100">
        <v>-2.6912419629338204E-3</v>
      </c>
      <c r="E100">
        <v>-2.1904416489999301E-2</v>
      </c>
      <c r="F100">
        <v>-6.3933004229275005E-3</v>
      </c>
      <c r="G100">
        <v>-9.52725376698247E-3</v>
      </c>
      <c r="H100">
        <v>-1.47539542583998E-2</v>
      </c>
    </row>
    <row r="101" spans="1:8" x14ac:dyDescent="0.25">
      <c r="A101" s="27">
        <v>39568</v>
      </c>
      <c r="B101">
        <v>-5.7560213784078398E-3</v>
      </c>
      <c r="C101">
        <v>1.6942252827377501E-2</v>
      </c>
      <c r="D101">
        <v>1.8058162127582999E-2</v>
      </c>
      <c r="E101">
        <v>2.1588321638819501E-2</v>
      </c>
      <c r="F101">
        <v>1.9195829708755201E-2</v>
      </c>
      <c r="G101">
        <v>1.5277952264109001E-2</v>
      </c>
      <c r="H101">
        <v>2.28536710201716E-2</v>
      </c>
    </row>
    <row r="102" spans="1:8" x14ac:dyDescent="0.25">
      <c r="A102" s="27">
        <v>39599</v>
      </c>
      <c r="B102">
        <v>2.6029702691847101E-3</v>
      </c>
      <c r="C102">
        <v>2.2859476387923499E-2</v>
      </c>
      <c r="D102">
        <v>1.7922217787035198E-2</v>
      </c>
      <c r="E102">
        <v>2.6195838733344398E-2</v>
      </c>
      <c r="F102">
        <v>1.05815209173316E-2</v>
      </c>
      <c r="G102">
        <v>2.3217686610013302E-2</v>
      </c>
      <c r="H102">
        <v>2.8105523147311403E-2</v>
      </c>
    </row>
    <row r="103" spans="1:8" x14ac:dyDescent="0.25">
      <c r="A103" s="27">
        <v>39629</v>
      </c>
      <c r="B103">
        <v>3.3470209033797597E-2</v>
      </c>
      <c r="C103">
        <v>-2.0759270421874098E-3</v>
      </c>
      <c r="D103">
        <v>2.3378637135122197E-3</v>
      </c>
      <c r="E103">
        <v>-1.65063010188533E-3</v>
      </c>
      <c r="F103">
        <v>-4.94803417189535E-3</v>
      </c>
      <c r="G103">
        <v>-2.1282258139269298E-3</v>
      </c>
      <c r="H103">
        <v>-1.15779343866519E-2</v>
      </c>
    </row>
    <row r="104" spans="1:8" x14ac:dyDescent="0.25">
      <c r="A104" s="27">
        <v>39660</v>
      </c>
      <c r="B104">
        <v>-4.3601080471128003E-3</v>
      </c>
      <c r="C104">
        <v>-9.7691182255319597E-3</v>
      </c>
      <c r="D104">
        <v>3.39118511424464E-5</v>
      </c>
      <c r="E104">
        <v>-2.16478158042929E-2</v>
      </c>
      <c r="F104">
        <v>7.4958994186540896E-4</v>
      </c>
      <c r="G104">
        <v>-1.2420776368325299E-2</v>
      </c>
      <c r="H104">
        <v>-1.3043376489292999E-2</v>
      </c>
    </row>
    <row r="105" spans="1:8" x14ac:dyDescent="0.25">
      <c r="A105" s="27">
        <v>39691</v>
      </c>
      <c r="B105">
        <v>-1.6485791370006001E-2</v>
      </c>
      <c r="C105">
        <v>3.9664196638507995E-3</v>
      </c>
      <c r="D105">
        <v>3.0629653861872202E-3</v>
      </c>
      <c r="E105">
        <v>-7.1707754509345899E-3</v>
      </c>
      <c r="F105">
        <v>2.2406378115652901E-4</v>
      </c>
      <c r="G105">
        <v>7.0144239731381001E-3</v>
      </c>
      <c r="H105">
        <v>-2.5037419655476898E-3</v>
      </c>
    </row>
    <row r="106" spans="1:8" x14ac:dyDescent="0.25">
      <c r="A106" s="27">
        <v>39721</v>
      </c>
      <c r="B106">
        <v>6.5080424397716996E-2</v>
      </c>
      <c r="C106">
        <v>-4.64851710275083E-2</v>
      </c>
      <c r="D106">
        <v>-4.7918452145038495E-2</v>
      </c>
      <c r="E106">
        <v>-7.8753732809847002E-2</v>
      </c>
      <c r="F106">
        <v>-4.5760324870685605E-2</v>
      </c>
      <c r="G106">
        <v>-4.6040939634993394E-2</v>
      </c>
      <c r="H106">
        <v>-6.5002547792910301E-2</v>
      </c>
    </row>
    <row r="107" spans="1:8" x14ac:dyDescent="0.25">
      <c r="A107" s="27">
        <v>39752</v>
      </c>
      <c r="B107">
        <v>3.2562826197500797E-2</v>
      </c>
      <c r="C107">
        <v>-4.0187736581525399E-2</v>
      </c>
      <c r="D107">
        <v>-5.5479482294826299E-2</v>
      </c>
      <c r="E107">
        <v>-7.3583212808950901E-2</v>
      </c>
      <c r="F107">
        <v>-4.9279059468534302E-2</v>
      </c>
      <c r="G107">
        <v>-4.0046519185054696E-2</v>
      </c>
      <c r="H107">
        <v>-5.7114370379645799E-2</v>
      </c>
    </row>
    <row r="108" spans="1:8" x14ac:dyDescent="0.25">
      <c r="A108" s="27">
        <v>39782</v>
      </c>
      <c r="B108">
        <v>1.2117214148748501E-2</v>
      </c>
      <c r="C108">
        <v>-2.6929717586692797E-2</v>
      </c>
      <c r="D108">
        <v>-1.7296764325205102E-2</v>
      </c>
      <c r="E108">
        <v>-3.7807985470053096E-2</v>
      </c>
      <c r="F108">
        <v>-4.4890278571606899E-2</v>
      </c>
      <c r="G108">
        <v>-2.9275352299752703E-2</v>
      </c>
      <c r="H108">
        <v>-3.7788254049004405E-2</v>
      </c>
    </row>
    <row r="109" spans="1:8" x14ac:dyDescent="0.25">
      <c r="A109" s="27">
        <v>39813</v>
      </c>
      <c r="B109">
        <v>1.85591691500051E-3</v>
      </c>
      <c r="C109">
        <v>9.717222516504271E-3</v>
      </c>
      <c r="D109">
        <v>1.3115423912430799E-2</v>
      </c>
      <c r="E109">
        <v>-8.3202646514475096E-3</v>
      </c>
      <c r="F109">
        <v>-1.88615481076754E-3</v>
      </c>
      <c r="G109">
        <v>1.0275375912961101E-2</v>
      </c>
      <c r="H109">
        <v>8.2600963486912198E-3</v>
      </c>
    </row>
    <row r="110" spans="1:8" x14ac:dyDescent="0.25">
      <c r="A110" s="27">
        <v>39844</v>
      </c>
      <c r="B110">
        <v>2.7888604747778302E-2</v>
      </c>
      <c r="C110">
        <v>9.6505500773665896E-3</v>
      </c>
      <c r="D110">
        <v>3.2873863693449898E-2</v>
      </c>
      <c r="E110">
        <v>3.85377949095492E-2</v>
      </c>
      <c r="F110">
        <v>2.6763401394335598E-2</v>
      </c>
      <c r="G110">
        <v>7.9732303534595199E-3</v>
      </c>
      <c r="H110">
        <v>4.3033176037709699E-3</v>
      </c>
    </row>
    <row r="111" spans="1:8" x14ac:dyDescent="0.25">
      <c r="A111" s="27">
        <v>39872</v>
      </c>
      <c r="B111">
        <v>3.3630746756249698E-2</v>
      </c>
      <c r="C111">
        <v>-1.33904062896795E-2</v>
      </c>
      <c r="D111">
        <v>8.6287913324630903E-3</v>
      </c>
      <c r="E111">
        <v>1.3895534328905502E-3</v>
      </c>
      <c r="F111">
        <v>5.0833189140395496E-3</v>
      </c>
      <c r="G111">
        <v>-1.41188543594357E-2</v>
      </c>
      <c r="H111">
        <v>-2.4815983725270701E-2</v>
      </c>
    </row>
    <row r="112" spans="1:8" x14ac:dyDescent="0.25">
      <c r="A112" s="27">
        <v>39903</v>
      </c>
      <c r="B112">
        <v>-5.0991359601005202E-3</v>
      </c>
      <c r="C112">
        <v>2.21396460963715E-2</v>
      </c>
      <c r="D112">
        <v>1.8248839262078501E-2</v>
      </c>
      <c r="E112">
        <v>1.1138000187678999E-2</v>
      </c>
      <c r="F112">
        <v>9.4612286099059299E-3</v>
      </c>
      <c r="G112">
        <v>2.1438653722374398E-2</v>
      </c>
      <c r="H112">
        <v>3.7548181439768999E-2</v>
      </c>
    </row>
    <row r="113" spans="1:8" x14ac:dyDescent="0.25">
      <c r="A113" s="27">
        <v>39933</v>
      </c>
      <c r="B113">
        <v>-5.7129985020004503E-3</v>
      </c>
      <c r="C113">
        <v>4.30432829827272E-2</v>
      </c>
      <c r="D113">
        <v>3.0925073882514802E-2</v>
      </c>
      <c r="E113">
        <v>2.2668130257032702E-2</v>
      </c>
      <c r="F113">
        <v>3.74630513335341E-2</v>
      </c>
      <c r="G113">
        <v>4.3679980293308898E-2</v>
      </c>
      <c r="H113">
        <v>5.2577704439384698E-2</v>
      </c>
    </row>
    <row r="114" spans="1:8" x14ac:dyDescent="0.25">
      <c r="A114" s="27">
        <v>39964</v>
      </c>
      <c r="B114">
        <v>9.3658376187945899E-4</v>
      </c>
      <c r="C114">
        <v>4.8447438725528001E-2</v>
      </c>
      <c r="D114">
        <v>2.9013424059521703E-2</v>
      </c>
      <c r="E114">
        <v>3.74045659035626E-2</v>
      </c>
      <c r="F114">
        <v>3.8201856684803102E-2</v>
      </c>
      <c r="G114">
        <v>4.9249460745229706E-2</v>
      </c>
      <c r="H114">
        <v>4.8267091876784705E-2</v>
      </c>
    </row>
    <row r="115" spans="1:8" x14ac:dyDescent="0.25">
      <c r="A115" s="27">
        <v>39994</v>
      </c>
      <c r="B115">
        <v>2.1966464793485397E-2</v>
      </c>
      <c r="C115">
        <v>1.09347978300946E-2</v>
      </c>
      <c r="D115">
        <v>1.9736127129936699E-2</v>
      </c>
      <c r="E115">
        <v>1.7726946725591001E-2</v>
      </c>
      <c r="F115">
        <v>1.9605494468805499E-2</v>
      </c>
      <c r="G115">
        <v>1.07259628455217E-2</v>
      </c>
      <c r="H115">
        <v>8.082367819046879E-3</v>
      </c>
    </row>
    <row r="116" spans="1:8" x14ac:dyDescent="0.25">
      <c r="A116" s="27">
        <v>40025</v>
      </c>
      <c r="B116">
        <v>1.2541043300908199E-2</v>
      </c>
      <c r="C116">
        <v>2.46860172994386E-2</v>
      </c>
      <c r="D116">
        <v>2.74407504451714E-2</v>
      </c>
      <c r="E116">
        <v>4.2040951154864906E-2</v>
      </c>
      <c r="F116">
        <v>3.0698262056229001E-2</v>
      </c>
      <c r="G116">
        <v>2.2389878011763901E-2</v>
      </c>
      <c r="H116">
        <v>3.3173816528324601E-2</v>
      </c>
    </row>
    <row r="117" spans="1:8" x14ac:dyDescent="0.25">
      <c r="A117" s="27">
        <v>40056</v>
      </c>
      <c r="B117">
        <v>-1.1018756965594501E-2</v>
      </c>
      <c r="C117">
        <v>2.0587540690404599E-2</v>
      </c>
      <c r="D117">
        <v>1.8285012097733099E-2</v>
      </c>
      <c r="E117">
        <v>1.9073580687054701E-2</v>
      </c>
      <c r="F117">
        <v>2.9475798484941799E-2</v>
      </c>
      <c r="G117">
        <v>1.9931181079598601E-2</v>
      </c>
      <c r="H117">
        <v>1.8962897631444799E-2</v>
      </c>
    </row>
    <row r="118" spans="1:8" x14ac:dyDescent="0.25">
      <c r="A118" s="27">
        <v>40086</v>
      </c>
      <c r="B118">
        <v>1.8023027887034401E-2</v>
      </c>
      <c r="C118">
        <v>2.8261673392949702E-2</v>
      </c>
      <c r="D118">
        <v>1.8476869656393901E-2</v>
      </c>
      <c r="E118">
        <v>2.5104031533752499E-2</v>
      </c>
      <c r="F118">
        <v>3.6761901392239504E-2</v>
      </c>
      <c r="G118">
        <v>3.0239089933059196E-2</v>
      </c>
      <c r="H118">
        <v>3.2009844797384696E-2</v>
      </c>
    </row>
    <row r="119" spans="1:8" x14ac:dyDescent="0.25">
      <c r="A119" s="27">
        <v>40117</v>
      </c>
      <c r="B119">
        <v>-1.056285490234E-2</v>
      </c>
      <c r="C119">
        <v>-3.5792881940048598E-3</v>
      </c>
      <c r="D119">
        <v>4.1539940871679901E-3</v>
      </c>
      <c r="E119">
        <v>4.2067570505017002E-3</v>
      </c>
      <c r="F119">
        <v>2.4654260520023299E-2</v>
      </c>
      <c r="G119">
        <v>-5.3654000692901702E-3</v>
      </c>
      <c r="H119">
        <v>-1.19415562631567E-2</v>
      </c>
    </row>
    <row r="120" spans="1:8" x14ac:dyDescent="0.25">
      <c r="A120" s="27">
        <v>40147</v>
      </c>
      <c r="B120">
        <v>2.51175677520366E-2</v>
      </c>
      <c r="C120">
        <v>2.2278595207402101E-2</v>
      </c>
      <c r="D120">
        <v>8.3506379556214112E-3</v>
      </c>
      <c r="E120">
        <v>1.2935526349720701E-2</v>
      </c>
      <c r="F120">
        <v>1.3139211897113701E-2</v>
      </c>
      <c r="G120">
        <v>2.3469818407670501E-2</v>
      </c>
      <c r="H120">
        <v>1.9766999307077999E-2</v>
      </c>
    </row>
    <row r="121" spans="1:8" x14ac:dyDescent="0.25">
      <c r="A121" s="27">
        <v>40178</v>
      </c>
      <c r="B121">
        <v>-1.3572742384623299E-2</v>
      </c>
      <c r="C121">
        <v>1.72038662960044E-2</v>
      </c>
      <c r="D121">
        <v>1.7038276227000299E-2</v>
      </c>
      <c r="E121">
        <v>2.2384261988126201E-2</v>
      </c>
      <c r="F121">
        <v>2.0981929313587302E-2</v>
      </c>
      <c r="G121">
        <v>1.7221565689961801E-2</v>
      </c>
      <c r="H121">
        <v>2.2964614348861597E-2</v>
      </c>
    </row>
    <row r="122" spans="1:8" x14ac:dyDescent="0.25">
      <c r="A122" s="27">
        <v>40209</v>
      </c>
      <c r="B122">
        <v>1.07454944074141E-2</v>
      </c>
      <c r="C122">
        <v>-2.5957079296019597E-3</v>
      </c>
      <c r="D122">
        <v>4.7570380039633903E-3</v>
      </c>
      <c r="E122">
        <v>6.9561251751179996E-3</v>
      </c>
      <c r="F122">
        <v>1.7238856289898401E-2</v>
      </c>
      <c r="G122">
        <v>-4.5349363762844904E-3</v>
      </c>
      <c r="H122">
        <v>-1.18750793196334E-2</v>
      </c>
    </row>
    <row r="123" spans="1:8" x14ac:dyDescent="0.25">
      <c r="A123" s="27">
        <v>40237</v>
      </c>
      <c r="B123">
        <v>-1.7168752151994302E-4</v>
      </c>
      <c r="C123">
        <v>1.2821169495530299E-2</v>
      </c>
      <c r="D123">
        <v>7.1073285729320902E-3</v>
      </c>
      <c r="E123">
        <v>3.1902007880730099E-3</v>
      </c>
      <c r="F123">
        <v>9.8825054705826195E-3</v>
      </c>
      <c r="G123">
        <v>1.4028685318712299E-2</v>
      </c>
      <c r="H123">
        <v>1.74132349787341E-2</v>
      </c>
    </row>
    <row r="124" spans="1:8" x14ac:dyDescent="0.25">
      <c r="A124" s="27">
        <v>40268</v>
      </c>
      <c r="B124">
        <v>-1.19739985167299E-4</v>
      </c>
      <c r="C124">
        <v>2.1716483673630299E-2</v>
      </c>
      <c r="D124">
        <v>1.10118029743956E-2</v>
      </c>
      <c r="E124">
        <v>2.0897098671874201E-2</v>
      </c>
      <c r="F124">
        <v>2.2374552727012501E-2</v>
      </c>
      <c r="G124">
        <v>2.14947864179077E-2</v>
      </c>
      <c r="H124">
        <v>3.04360632139428E-2</v>
      </c>
    </row>
    <row r="125" spans="1:8" x14ac:dyDescent="0.25">
      <c r="A125" s="27">
        <v>40298</v>
      </c>
      <c r="B125">
        <v>2.97350176279597E-3</v>
      </c>
      <c r="C125">
        <v>1.6678719912691299E-2</v>
      </c>
      <c r="D125">
        <v>7.46876762296678E-3</v>
      </c>
      <c r="E125">
        <v>1.5638645224429499E-2</v>
      </c>
      <c r="F125">
        <v>2.06157175145999E-2</v>
      </c>
      <c r="G125">
        <v>1.64198812617792E-2</v>
      </c>
      <c r="H125">
        <v>2.0792175329177903E-2</v>
      </c>
    </row>
    <row r="126" spans="1:8" x14ac:dyDescent="0.25">
      <c r="A126" s="27">
        <v>40329</v>
      </c>
      <c r="B126">
        <v>2.6228832479610702E-2</v>
      </c>
      <c r="C126">
        <v>-2.3604955166350902E-2</v>
      </c>
      <c r="D126">
        <v>-1.46093394433778E-2</v>
      </c>
      <c r="E126">
        <v>-2.2367567855599201E-2</v>
      </c>
      <c r="F126">
        <v>-6.0924616297050802E-3</v>
      </c>
      <c r="G126">
        <v>-2.37206862403367E-2</v>
      </c>
      <c r="H126">
        <v>-3.3156172251481798E-2</v>
      </c>
    </row>
    <row r="127" spans="1:8" x14ac:dyDescent="0.25">
      <c r="A127" s="27">
        <v>40359</v>
      </c>
      <c r="B127">
        <v>2.2676307905798502E-2</v>
      </c>
      <c r="C127">
        <v>-7.890735553324521E-3</v>
      </c>
      <c r="D127">
        <v>-2.4756904106384798E-3</v>
      </c>
      <c r="E127">
        <v>5.0722803417359199E-4</v>
      </c>
      <c r="F127">
        <v>1.03932039551321E-2</v>
      </c>
      <c r="G127">
        <v>-6.7142552796335998E-3</v>
      </c>
      <c r="H127">
        <v>-2.3442147664347601E-2</v>
      </c>
    </row>
    <row r="128" spans="1:8" x14ac:dyDescent="0.25">
      <c r="A128" s="27">
        <v>40390</v>
      </c>
      <c r="B128">
        <v>-2.3775785090614499E-2</v>
      </c>
      <c r="C128">
        <v>1.7579486464793702E-2</v>
      </c>
      <c r="D128">
        <v>2.0608720668956401E-2</v>
      </c>
      <c r="E128">
        <v>1.41738221651962E-2</v>
      </c>
      <c r="F128">
        <v>1.7061443818573302E-2</v>
      </c>
      <c r="G128">
        <v>1.75605156492353E-2</v>
      </c>
      <c r="H128">
        <v>2.3279711611303502E-2</v>
      </c>
    </row>
    <row r="129" spans="1:8" x14ac:dyDescent="0.25">
      <c r="A129" s="27">
        <v>40421</v>
      </c>
      <c r="B129">
        <v>4.7667198178556802E-2</v>
      </c>
      <c r="C129">
        <v>-7.0669458679288897E-5</v>
      </c>
      <c r="D129">
        <v>8.1267486125701401E-3</v>
      </c>
      <c r="E129">
        <v>4.2830478205946798E-3</v>
      </c>
      <c r="F129">
        <v>1.5824193865030901E-2</v>
      </c>
      <c r="G129">
        <v>7.99967415246545E-4</v>
      </c>
      <c r="H129">
        <v>-1.62461865311746E-2</v>
      </c>
    </row>
    <row r="130" spans="1:8" x14ac:dyDescent="0.25">
      <c r="A130" s="27">
        <v>40451</v>
      </c>
      <c r="B130">
        <v>-7.916274082150971E-3</v>
      </c>
      <c r="C130">
        <v>3.6248990272148202E-2</v>
      </c>
      <c r="D130">
        <v>1.8373080212165299E-2</v>
      </c>
      <c r="E130">
        <v>2.6592603522749298E-2</v>
      </c>
      <c r="F130">
        <v>1.8395244621564798E-2</v>
      </c>
      <c r="G130">
        <v>3.7139769589152001E-2</v>
      </c>
      <c r="H130">
        <v>4.5625671374039597E-2</v>
      </c>
    </row>
    <row r="131" spans="1:8" x14ac:dyDescent="0.25">
      <c r="A131" s="27">
        <v>40482</v>
      </c>
      <c r="B131">
        <v>-8.4117263034376305E-3</v>
      </c>
      <c r="C131">
        <v>2.8060927868578899E-2</v>
      </c>
      <c r="D131">
        <v>1.3460580304973E-2</v>
      </c>
      <c r="E131">
        <v>2.5529528934231101E-2</v>
      </c>
      <c r="F131">
        <v>1.74018880845614E-2</v>
      </c>
      <c r="G131">
        <v>3.0164397898975199E-2</v>
      </c>
      <c r="H131">
        <v>2.6936594999080299E-2</v>
      </c>
    </row>
    <row r="132" spans="1:8" x14ac:dyDescent="0.25">
      <c r="A132" s="27">
        <v>40512</v>
      </c>
      <c r="B132">
        <v>-1.75340159443577E-2</v>
      </c>
      <c r="C132">
        <v>4.9894004479108496E-3</v>
      </c>
      <c r="D132">
        <v>-8.8998468397489302E-4</v>
      </c>
      <c r="E132">
        <v>6.8003581882397305E-3</v>
      </c>
      <c r="F132">
        <v>9.2641042023692693E-3</v>
      </c>
      <c r="G132">
        <v>2.8448564251084101E-3</v>
      </c>
      <c r="H132">
        <v>1.17903185433754E-2</v>
      </c>
    </row>
    <row r="133" spans="1:8" x14ac:dyDescent="0.25">
      <c r="A133" s="27">
        <v>40543</v>
      </c>
      <c r="B133">
        <v>1.55136170142652E-3</v>
      </c>
      <c r="C133">
        <v>3.3450700681622501E-2</v>
      </c>
      <c r="D133">
        <v>6.7802798658221797E-3</v>
      </c>
      <c r="E133">
        <v>2.3950870476947703E-2</v>
      </c>
      <c r="F133">
        <v>1.2955405768605599E-2</v>
      </c>
      <c r="G133">
        <v>3.5564440442360901E-2</v>
      </c>
      <c r="H133">
        <v>3.84770003010175E-2</v>
      </c>
    </row>
    <row r="134" spans="1:8" x14ac:dyDescent="0.25">
      <c r="A134" s="27">
        <v>40574</v>
      </c>
      <c r="B134">
        <v>-1.4609317375034101E-2</v>
      </c>
      <c r="C134">
        <v>1.0051573213998698E-2</v>
      </c>
      <c r="D134">
        <v>9.5496641202166208E-3</v>
      </c>
      <c r="E134">
        <v>1.3651946272559801E-2</v>
      </c>
      <c r="F134">
        <v>1.6604598981450999E-2</v>
      </c>
      <c r="G134">
        <v>8.2350817458332701E-3</v>
      </c>
      <c r="H134">
        <v>1.17920769576439E-2</v>
      </c>
    </row>
    <row r="135" spans="1:8" x14ac:dyDescent="0.25">
      <c r="A135" s="27">
        <v>40602</v>
      </c>
      <c r="B135">
        <v>2.0955326482496E-3</v>
      </c>
      <c r="C135">
        <v>2.01908195948305E-2</v>
      </c>
      <c r="D135">
        <v>4.9127608370082097E-3</v>
      </c>
      <c r="E135">
        <v>1.9424014237741701E-2</v>
      </c>
      <c r="F135">
        <v>1.6330020675418201E-2</v>
      </c>
      <c r="G135">
        <v>2.0153367992018102E-2</v>
      </c>
      <c r="H135">
        <v>2.368368405369E-2</v>
      </c>
    </row>
    <row r="136" spans="1:8" x14ac:dyDescent="0.25">
      <c r="A136" s="27">
        <v>40633</v>
      </c>
      <c r="B136">
        <v>-2.3429446208505199E-2</v>
      </c>
      <c r="C136">
        <v>2.6896115095311401E-3</v>
      </c>
      <c r="D136">
        <v>8.562831451000041E-3</v>
      </c>
      <c r="E136">
        <v>3.2361653674311402E-3</v>
      </c>
      <c r="F136">
        <v>5.3244324595403099E-3</v>
      </c>
      <c r="G136">
        <v>1.8300810327571402E-3</v>
      </c>
      <c r="H136">
        <v>1.1220347185800701E-3</v>
      </c>
    </row>
    <row r="137" spans="1:8" x14ac:dyDescent="0.25">
      <c r="A137" s="27">
        <v>40663</v>
      </c>
      <c r="B137">
        <v>-2.77016230766335E-2</v>
      </c>
      <c r="C137">
        <v>1.38967054581578E-2</v>
      </c>
      <c r="D137">
        <v>2.3991805428085701E-3</v>
      </c>
      <c r="E137">
        <v>1.5156241257882902E-2</v>
      </c>
      <c r="F137">
        <v>1.02630846510145E-2</v>
      </c>
      <c r="G137">
        <v>1.4054354484326499E-2</v>
      </c>
      <c r="H137">
        <v>1.1848552372484399E-2</v>
      </c>
    </row>
    <row r="138" spans="1:8" x14ac:dyDescent="0.25">
      <c r="A138" s="27">
        <v>40694</v>
      </c>
      <c r="B138">
        <v>1.4764513060770399E-2</v>
      </c>
      <c r="C138">
        <v>-3.6873167933894201E-3</v>
      </c>
      <c r="D138">
        <v>2.3634090312365198E-3</v>
      </c>
      <c r="E138">
        <v>-2.19639528589014E-3</v>
      </c>
      <c r="F138">
        <v>8.5059489328790407E-3</v>
      </c>
      <c r="G138">
        <v>-4.3395957504253199E-3</v>
      </c>
      <c r="H138">
        <v>-7.1854130587702299E-3</v>
      </c>
    </row>
    <row r="139" spans="1:8" x14ac:dyDescent="0.25">
      <c r="A139" s="27">
        <v>40724</v>
      </c>
      <c r="B139">
        <v>-5.0922376209640895E-3</v>
      </c>
      <c r="C139">
        <v>-9.8047034414050407E-3</v>
      </c>
      <c r="D139">
        <v>6.6804720505673695E-4</v>
      </c>
      <c r="E139">
        <v>-9.5469393589029308E-3</v>
      </c>
      <c r="F139">
        <v>-1.0871175911653902E-3</v>
      </c>
      <c r="G139">
        <v>-1.1304002294334099E-2</v>
      </c>
      <c r="H139">
        <v>-1.07818589940612E-2</v>
      </c>
    </row>
    <row r="140" spans="1:8" x14ac:dyDescent="0.25">
      <c r="A140" s="27">
        <v>40755</v>
      </c>
      <c r="B140">
        <v>1.8314175366302098E-2</v>
      </c>
      <c r="C140">
        <v>3.49968996058389E-3</v>
      </c>
      <c r="D140">
        <v>-7.643249953774089E-4</v>
      </c>
      <c r="E140">
        <v>2.6613596596165101E-3</v>
      </c>
      <c r="F140">
        <v>5.8298857291733197E-3</v>
      </c>
      <c r="G140">
        <v>4.3360742915973197E-3</v>
      </c>
      <c r="H140">
        <v>-3.99650992007542E-3</v>
      </c>
    </row>
    <row r="141" spans="1:8" x14ac:dyDescent="0.25">
      <c r="A141" s="27">
        <v>40786</v>
      </c>
      <c r="B141">
        <v>8.7259597936435399E-3</v>
      </c>
      <c r="C141">
        <v>-2.6292348780667697E-2</v>
      </c>
      <c r="D141">
        <v>-8.5362551750048591E-3</v>
      </c>
      <c r="E141">
        <v>-1.4344856689054599E-2</v>
      </c>
      <c r="F141">
        <v>-1.22982355243708E-2</v>
      </c>
      <c r="G141">
        <v>-2.7103471698800799E-2</v>
      </c>
      <c r="H141">
        <v>-4.4172183259091696E-2</v>
      </c>
    </row>
    <row r="142" spans="1:8" x14ac:dyDescent="0.25">
      <c r="A142" s="27">
        <v>40816</v>
      </c>
      <c r="B142">
        <v>4.0948498047511002E-2</v>
      </c>
      <c r="C142">
        <v>-2.4634984018143503E-2</v>
      </c>
      <c r="D142">
        <v>-3.4088125767156603E-3</v>
      </c>
      <c r="E142">
        <v>-1.44325441645897E-2</v>
      </c>
      <c r="F142">
        <v>-5.5329125092255203E-3</v>
      </c>
      <c r="G142">
        <v>-2.5186566864170801E-2</v>
      </c>
      <c r="H142">
        <v>-5.3113564088493596E-2</v>
      </c>
    </row>
    <row r="143" spans="1:8" x14ac:dyDescent="0.25">
      <c r="A143" s="27">
        <v>40847</v>
      </c>
      <c r="B143">
        <v>-1.7811441163369902E-2</v>
      </c>
      <c r="C143">
        <v>2.5143849007095001E-2</v>
      </c>
      <c r="D143">
        <v>1.0005707068847701E-2</v>
      </c>
      <c r="E143">
        <v>1.4147614510221401E-2</v>
      </c>
      <c r="F143">
        <v>8.5278037015082599E-3</v>
      </c>
      <c r="G143">
        <v>2.4218855849119598E-2</v>
      </c>
      <c r="H143">
        <v>4.9776525157274903E-2</v>
      </c>
    </row>
    <row r="144" spans="1:8" x14ac:dyDescent="0.25">
      <c r="A144" s="27">
        <v>40877</v>
      </c>
      <c r="B144">
        <v>7.68047245706628E-4</v>
      </c>
      <c r="C144">
        <v>-1.7751292300341901E-3</v>
      </c>
      <c r="D144">
        <v>2.4833565161379799E-3</v>
      </c>
      <c r="E144">
        <v>4.2612768746452898E-3</v>
      </c>
      <c r="F144">
        <v>1.3266066611450199E-3</v>
      </c>
      <c r="G144">
        <v>-1.51706031742383E-3</v>
      </c>
      <c r="H144">
        <v>-1.0188524079314001E-2</v>
      </c>
    </row>
    <row r="145" spans="1:8" x14ac:dyDescent="0.25">
      <c r="A145" s="27">
        <v>40908</v>
      </c>
      <c r="B145">
        <v>9.4914031733103598E-3</v>
      </c>
      <c r="C145">
        <v>5.1102081762387994E-3</v>
      </c>
      <c r="D145">
        <v>4.6515522584284199E-3</v>
      </c>
      <c r="E145">
        <v>7.2117867138792001E-3</v>
      </c>
      <c r="F145">
        <v>7.7770402364758795E-3</v>
      </c>
      <c r="G145">
        <v>5.7236201455918897E-3</v>
      </c>
      <c r="H145">
        <v>-4.9252716862442202E-4</v>
      </c>
    </row>
    <row r="146" spans="1:8" x14ac:dyDescent="0.25">
      <c r="A146" s="27">
        <v>40939</v>
      </c>
      <c r="B146">
        <v>-2.0441406071416601E-3</v>
      </c>
      <c r="C146">
        <v>2.2890167920727299E-2</v>
      </c>
      <c r="D146">
        <v>1.71801920988475E-2</v>
      </c>
      <c r="E146">
        <v>1.7956132706751199E-2</v>
      </c>
      <c r="F146">
        <v>1.5809697282895999E-2</v>
      </c>
      <c r="G146">
        <v>2.3735928336520499E-2</v>
      </c>
      <c r="H146">
        <v>3.51891004704862E-2</v>
      </c>
    </row>
    <row r="147" spans="1:8" x14ac:dyDescent="0.25">
      <c r="A147" s="27">
        <v>40968</v>
      </c>
      <c r="B147">
        <v>-1.3312530275856099E-3</v>
      </c>
      <c r="C147">
        <v>1.7284713626586901E-2</v>
      </c>
      <c r="D147">
        <v>8.7488269516598008E-3</v>
      </c>
      <c r="E147">
        <v>1.49936882745468E-2</v>
      </c>
      <c r="F147">
        <v>1.8190933732042901E-2</v>
      </c>
      <c r="G147">
        <v>1.7068741810043499E-2</v>
      </c>
      <c r="H147">
        <v>2.16389933232355E-2</v>
      </c>
    </row>
    <row r="148" spans="1:8" x14ac:dyDescent="0.25">
      <c r="A148" s="27">
        <v>40999</v>
      </c>
      <c r="B148">
        <v>-1.3276568614079101E-2</v>
      </c>
      <c r="C148">
        <v>6.8241650046863998E-3</v>
      </c>
      <c r="D148">
        <v>4.2182019856574302E-3</v>
      </c>
      <c r="E148">
        <v>7.39599461026087E-3</v>
      </c>
      <c r="F148">
        <v>1.25701288427376E-2</v>
      </c>
      <c r="G148">
        <v>6.8830896018704599E-3</v>
      </c>
      <c r="H148">
        <v>1.18781944668981E-2</v>
      </c>
    </row>
    <row r="149" spans="1:8" x14ac:dyDescent="0.25">
      <c r="A149" s="27">
        <v>41029</v>
      </c>
      <c r="B149">
        <v>-3.1948014710707702E-3</v>
      </c>
      <c r="C149">
        <v>5.6123617013628305E-5</v>
      </c>
      <c r="D149">
        <v>4.9869362273441201E-3</v>
      </c>
      <c r="E149">
        <v>1.5781371858797099E-3</v>
      </c>
      <c r="F149">
        <v>7.52653411924972E-3</v>
      </c>
      <c r="G149">
        <v>-9.2193241444662403E-4</v>
      </c>
      <c r="H149">
        <v>-5.9197347752132602E-3</v>
      </c>
    </row>
    <row r="150" spans="1:8" x14ac:dyDescent="0.25">
      <c r="A150" s="27">
        <v>41060</v>
      </c>
      <c r="B150">
        <v>1.1656824092534702E-2</v>
      </c>
      <c r="C150">
        <v>-1.51602467335973E-2</v>
      </c>
      <c r="D150">
        <v>-7.9652155739197202E-3</v>
      </c>
      <c r="E150">
        <v>-8.9616137980788307E-3</v>
      </c>
      <c r="F150">
        <v>-7.1647506280493904E-4</v>
      </c>
      <c r="G150">
        <v>-1.65852586122671E-2</v>
      </c>
      <c r="H150">
        <v>-3.5618647605162999E-2</v>
      </c>
    </row>
    <row r="151" spans="1:8" x14ac:dyDescent="0.25">
      <c r="A151" s="27">
        <v>41090</v>
      </c>
      <c r="B151">
        <v>1.1810749856851901E-2</v>
      </c>
      <c r="C151">
        <v>7.6770481211643309E-3</v>
      </c>
      <c r="D151">
        <v>6.9852731900005805E-3</v>
      </c>
      <c r="E151">
        <v>6.8492168277356699E-3</v>
      </c>
      <c r="F151">
        <v>7.7854129045477208E-3</v>
      </c>
      <c r="G151">
        <v>6.8414758990717394E-3</v>
      </c>
      <c r="H151">
        <v>1.12388159379484E-2</v>
      </c>
    </row>
    <row r="152" spans="1:8" x14ac:dyDescent="0.25">
      <c r="A152" s="27">
        <v>41121</v>
      </c>
      <c r="B152">
        <v>1.4349594906237899E-2</v>
      </c>
      <c r="C152">
        <v>1.19964282248011E-2</v>
      </c>
      <c r="D152">
        <v>9.8311957113993501E-3</v>
      </c>
      <c r="E152">
        <v>1.4192011796425701E-2</v>
      </c>
      <c r="F152">
        <v>1.5137297612654099E-2</v>
      </c>
      <c r="G152">
        <v>1.25645707602558E-2</v>
      </c>
      <c r="H152">
        <v>1.3898279187633401E-3</v>
      </c>
    </row>
    <row r="153" spans="1:8" x14ac:dyDescent="0.25">
      <c r="A153" s="27">
        <v>41152</v>
      </c>
      <c r="B153">
        <v>7.8762360101123198E-4</v>
      </c>
      <c r="C153">
        <v>1.19134240115359E-2</v>
      </c>
      <c r="D153">
        <v>8.3260481186027604E-3</v>
      </c>
      <c r="E153">
        <v>9.9776065747364598E-3</v>
      </c>
      <c r="F153">
        <v>1.3379521001162999E-2</v>
      </c>
      <c r="G153">
        <v>1.2424165808832599E-2</v>
      </c>
      <c r="H153">
        <v>1.4130406064801799E-2</v>
      </c>
    </row>
    <row r="154" spans="1:8" x14ac:dyDescent="0.25">
      <c r="A154" s="27">
        <v>41182</v>
      </c>
      <c r="B154">
        <v>-6.8809728885691401E-3</v>
      </c>
      <c r="C154">
        <v>9.3768246271024695E-3</v>
      </c>
      <c r="D154">
        <v>5.0444142230167497E-3</v>
      </c>
      <c r="E154">
        <v>1.1490184462479101E-2</v>
      </c>
      <c r="F154">
        <v>1.30115791181061E-2</v>
      </c>
      <c r="G154">
        <v>8.41324413464546E-3</v>
      </c>
      <c r="H154">
        <v>1.8573553059195599E-2</v>
      </c>
    </row>
    <row r="155" spans="1:8" x14ac:dyDescent="0.25">
      <c r="A155" s="27">
        <v>41213</v>
      </c>
      <c r="B155">
        <v>1.1398458593084599E-3</v>
      </c>
      <c r="C155">
        <v>-3.90508265388768E-4</v>
      </c>
      <c r="D155">
        <v>2.0996981040852102E-3</v>
      </c>
      <c r="E155">
        <v>5.4006608347696603E-3</v>
      </c>
      <c r="F155">
        <v>1.1188619073311801E-2</v>
      </c>
      <c r="G155">
        <v>-1.2730242039608699E-3</v>
      </c>
      <c r="H155">
        <v>-2.1583799603347802E-3</v>
      </c>
    </row>
    <row r="156" spans="1:8" x14ac:dyDescent="0.25">
      <c r="A156" s="27">
        <v>41243</v>
      </c>
      <c r="B156">
        <v>5.4063653001172399E-3</v>
      </c>
      <c r="C156">
        <v>2.72313554137797E-3</v>
      </c>
      <c r="D156">
        <v>7.7781149940425497E-3</v>
      </c>
      <c r="E156">
        <v>4.4083757930678605E-3</v>
      </c>
      <c r="F156">
        <v>7.4525411674990303E-3</v>
      </c>
      <c r="G156">
        <v>2.5458910595169098E-3</v>
      </c>
      <c r="H156">
        <v>1.5728027547786E-3</v>
      </c>
    </row>
    <row r="157" spans="1:8" x14ac:dyDescent="0.25">
      <c r="A157" s="27">
        <v>41274</v>
      </c>
      <c r="B157">
        <v>3.6480246425021701E-3</v>
      </c>
      <c r="C157">
        <v>1.01740141027003E-2</v>
      </c>
      <c r="D157">
        <v>8.7696490563857598E-3</v>
      </c>
      <c r="E157">
        <v>9.2649542145123304E-3</v>
      </c>
      <c r="F157">
        <v>8.8183510414403497E-3</v>
      </c>
      <c r="G157">
        <v>9.3615776497052803E-3</v>
      </c>
      <c r="H157">
        <v>1.4259952002564601E-2</v>
      </c>
    </row>
    <row r="158" spans="1:8" x14ac:dyDescent="0.25">
      <c r="A158" s="27">
        <v>41305</v>
      </c>
      <c r="B158">
        <v>2.7116556321261101E-2</v>
      </c>
      <c r="C158">
        <v>2.1546103721864E-2</v>
      </c>
      <c r="D158">
        <v>1.06539388340504E-2</v>
      </c>
      <c r="E158">
        <v>2.42737657958563E-2</v>
      </c>
      <c r="F158">
        <v>1.6899525700964698E-2</v>
      </c>
      <c r="G158">
        <v>2.10609292922544E-2</v>
      </c>
      <c r="H158">
        <v>3.3055066709371E-2</v>
      </c>
    </row>
    <row r="159" spans="1:8" x14ac:dyDescent="0.25">
      <c r="A159" s="27">
        <v>41333</v>
      </c>
      <c r="B159">
        <v>1.0141805651635199E-3</v>
      </c>
      <c r="C159">
        <v>2.5412532366550799E-3</v>
      </c>
      <c r="D159">
        <v>3.1441025181322001E-3</v>
      </c>
      <c r="E159">
        <v>7.0439905825004602E-3</v>
      </c>
      <c r="F159">
        <v>6.6528856058400395E-3</v>
      </c>
      <c r="G159">
        <v>1.55998437990891E-3</v>
      </c>
      <c r="H159">
        <v>3.7069160239558501E-3</v>
      </c>
    </row>
    <row r="160" spans="1:8" x14ac:dyDescent="0.25">
      <c r="A160" s="27">
        <v>41364</v>
      </c>
      <c r="B160">
        <v>1.39827991234165E-2</v>
      </c>
      <c r="C160">
        <v>1.14881027358954E-2</v>
      </c>
      <c r="D160">
        <v>1.01420883751107E-2</v>
      </c>
      <c r="E160">
        <v>1.2399233511449498E-2</v>
      </c>
      <c r="F160">
        <v>8.4206300899192007E-3</v>
      </c>
      <c r="G160">
        <v>1.1437217750295098E-2</v>
      </c>
      <c r="H160">
        <v>1.8700247426014602E-2</v>
      </c>
    </row>
    <row r="161" spans="1:8" x14ac:dyDescent="0.25">
      <c r="A161" s="27">
        <v>41394</v>
      </c>
      <c r="B161">
        <v>3.40689694373476E-2</v>
      </c>
      <c r="C161">
        <v>2.9419618199087298E-3</v>
      </c>
      <c r="D161">
        <v>5.1120746946383099E-3</v>
      </c>
      <c r="E161">
        <v>3.2829335207892802E-3</v>
      </c>
      <c r="F161">
        <v>8.44590910739847E-3</v>
      </c>
      <c r="G161">
        <v>2.5868804823314202E-3</v>
      </c>
      <c r="H161">
        <v>5.03455418206635E-4</v>
      </c>
    </row>
    <row r="162" spans="1:8" x14ac:dyDescent="0.25">
      <c r="A162" s="27">
        <v>41425</v>
      </c>
      <c r="B162">
        <v>-2.0247440842903298E-2</v>
      </c>
      <c r="C162">
        <v>7.4403732290819202E-3</v>
      </c>
      <c r="D162">
        <v>-2.1371837566361699E-3</v>
      </c>
      <c r="E162">
        <v>6.7006032833819293E-3</v>
      </c>
      <c r="F162">
        <v>3.5255348874243296E-3</v>
      </c>
      <c r="G162">
        <v>5.5129473821564504E-3</v>
      </c>
      <c r="H162">
        <v>2.1837416819471298E-2</v>
      </c>
    </row>
    <row r="163" spans="1:8" x14ac:dyDescent="0.25">
      <c r="A163" s="27">
        <v>41455</v>
      </c>
      <c r="B163">
        <v>-1.36652327334176E-2</v>
      </c>
      <c r="C163">
        <v>-2.5834890470530702E-3</v>
      </c>
      <c r="D163">
        <v>-4.0033058828966E-3</v>
      </c>
      <c r="E163">
        <v>-5.2435669361271002E-3</v>
      </c>
      <c r="F163">
        <v>-1.0551761135873401E-2</v>
      </c>
      <c r="G163">
        <v>-2.5318608317621101E-3</v>
      </c>
      <c r="H163">
        <v>-2.3212389821255499E-3</v>
      </c>
    </row>
    <row r="164" spans="1:8" x14ac:dyDescent="0.25">
      <c r="A164" s="27">
        <v>41486</v>
      </c>
      <c r="B164">
        <v>4.3277777476543296E-3</v>
      </c>
      <c r="C164">
        <v>1.6367458123190699E-2</v>
      </c>
      <c r="D164">
        <v>9.2063872450206998E-3</v>
      </c>
      <c r="E164">
        <v>1.2876008618788E-2</v>
      </c>
      <c r="F164">
        <v>4.6566766787058201E-3</v>
      </c>
      <c r="G164">
        <v>1.61070043339324E-2</v>
      </c>
      <c r="H164">
        <v>3.3002676333420397E-2</v>
      </c>
    </row>
    <row r="165" spans="1:8" x14ac:dyDescent="0.25">
      <c r="A165" s="27">
        <v>41517</v>
      </c>
      <c r="B165">
        <v>-3.6976444007228798E-2</v>
      </c>
      <c r="C165">
        <v>-3.9786648711896203E-3</v>
      </c>
      <c r="D165">
        <v>-3.6711294103240599E-3</v>
      </c>
      <c r="E165">
        <v>-2.6435481911280699E-3</v>
      </c>
      <c r="F165">
        <v>5.5925943868324207E-4</v>
      </c>
      <c r="G165">
        <v>-5.2689912897390502E-3</v>
      </c>
      <c r="H165">
        <v>-3.62316871273495E-3</v>
      </c>
    </row>
    <row r="166" spans="1:8" x14ac:dyDescent="0.25">
      <c r="A166" s="27">
        <v>41547</v>
      </c>
      <c r="B166">
        <v>2.66286380046723E-2</v>
      </c>
      <c r="C166">
        <v>1.4644613637724499E-2</v>
      </c>
      <c r="D166">
        <v>1.3912943703196401E-2</v>
      </c>
      <c r="E166">
        <v>8.5449844919227008E-3</v>
      </c>
      <c r="F166">
        <v>9.3362583523653193E-3</v>
      </c>
      <c r="G166">
        <v>1.5186779352817401E-2</v>
      </c>
      <c r="H166">
        <v>2.3768276306891802E-2</v>
      </c>
    </row>
    <row r="167" spans="1:8" x14ac:dyDescent="0.25">
      <c r="A167" s="27">
        <v>41578</v>
      </c>
      <c r="B167">
        <v>1.16116770903239E-2</v>
      </c>
      <c r="C167">
        <v>1.42019640076769E-2</v>
      </c>
      <c r="D167">
        <v>1.24530268025532E-2</v>
      </c>
      <c r="E167">
        <v>1.6896234986873E-2</v>
      </c>
      <c r="F167">
        <v>1.3336225304265701E-2</v>
      </c>
      <c r="G167">
        <v>1.3912499041956199E-2</v>
      </c>
      <c r="H167">
        <v>2.0069970922071901E-2</v>
      </c>
    </row>
    <row r="168" spans="1:8" x14ac:dyDescent="0.25">
      <c r="A168" s="27">
        <v>41608</v>
      </c>
      <c r="B168">
        <v>2.5671260089697302E-3</v>
      </c>
      <c r="C168">
        <v>1.0081300659074801E-2</v>
      </c>
      <c r="D168">
        <v>4.0669683837136102E-3</v>
      </c>
      <c r="E168">
        <v>1.3404163836891501E-2</v>
      </c>
      <c r="F168">
        <v>7.2341048870943102E-3</v>
      </c>
      <c r="G168">
        <v>9.2521172956684314E-3</v>
      </c>
      <c r="H168">
        <v>1.4684657155855201E-2</v>
      </c>
    </row>
    <row r="169" spans="1:8" x14ac:dyDescent="0.25">
      <c r="A169" s="27">
        <v>41639</v>
      </c>
      <c r="B169">
        <v>8.3607550046348802E-3</v>
      </c>
      <c r="C169">
        <v>1.48260448720882E-2</v>
      </c>
      <c r="D169">
        <v>7.1829143963943898E-3</v>
      </c>
      <c r="E169">
        <v>1.1738315421420899E-2</v>
      </c>
      <c r="F169">
        <v>9.7867524395956196E-3</v>
      </c>
      <c r="G169">
        <v>1.5519322929683199E-2</v>
      </c>
      <c r="H169">
        <v>1.8184108674037101E-2</v>
      </c>
    </row>
    <row r="170" spans="1:8" x14ac:dyDescent="0.25">
      <c r="A170" s="27">
        <v>41670</v>
      </c>
      <c r="B170">
        <v>-1.2124770858672999E-2</v>
      </c>
      <c r="C170">
        <v>-5.4832037290050196E-4</v>
      </c>
      <c r="D170">
        <v>-1.4856163687304101E-3</v>
      </c>
      <c r="E170">
        <v>3.8434373373069501E-3</v>
      </c>
      <c r="F170">
        <v>1.06405021573674E-2</v>
      </c>
      <c r="G170">
        <v>-1.9612312940173E-3</v>
      </c>
      <c r="H170">
        <v>-3.8733247795943899E-3</v>
      </c>
    </row>
    <row r="171" spans="1:8" x14ac:dyDescent="0.25">
      <c r="A171" s="27">
        <v>41698</v>
      </c>
      <c r="B171">
        <v>9.0658168535562994E-3</v>
      </c>
      <c r="C171">
        <v>2.12000900308358E-2</v>
      </c>
      <c r="D171">
        <v>1.1366637080339399E-2</v>
      </c>
      <c r="E171">
        <v>1.60879575951168E-2</v>
      </c>
      <c r="F171">
        <v>1.23065982052026E-2</v>
      </c>
      <c r="G171">
        <v>2.1503745495928102E-2</v>
      </c>
      <c r="H171">
        <v>3.1520514009279202E-2</v>
      </c>
    </row>
    <row r="172" spans="1:8" x14ac:dyDescent="0.25">
      <c r="A172" s="27">
        <v>41729</v>
      </c>
      <c r="B172">
        <v>4.2578159388676502E-3</v>
      </c>
      <c r="C172">
        <v>1.54868241979816E-3</v>
      </c>
      <c r="D172">
        <v>5.4012064299587799E-3</v>
      </c>
      <c r="E172">
        <v>6.6077436911727606E-3</v>
      </c>
      <c r="F172">
        <v>8.1010019559777709E-3</v>
      </c>
      <c r="G172">
        <v>1.25467916024571E-3</v>
      </c>
      <c r="H172">
        <v>-2.2746101340821003E-3</v>
      </c>
    </row>
    <row r="173" spans="1:8" x14ac:dyDescent="0.25">
      <c r="A173" s="27">
        <v>41759</v>
      </c>
      <c r="B173">
        <v>1.6447502362045202E-2</v>
      </c>
      <c r="C173">
        <v>2.34069834244992E-3</v>
      </c>
      <c r="D173">
        <v>2.5161179929264498E-3</v>
      </c>
      <c r="E173">
        <v>1.8904564808294899E-3</v>
      </c>
      <c r="F173">
        <v>8.6713548353269596E-3</v>
      </c>
      <c r="G173">
        <v>3.12847890797942E-3</v>
      </c>
      <c r="H173">
        <v>-4.0511692880715799E-3</v>
      </c>
    </row>
    <row r="174" spans="1:8" x14ac:dyDescent="0.25">
      <c r="A174" s="27">
        <v>41790</v>
      </c>
      <c r="B174">
        <v>6.6955254071477798E-3</v>
      </c>
      <c r="C174">
        <v>8.4424534383922695E-3</v>
      </c>
      <c r="D174">
        <v>4.1663821559366201E-3</v>
      </c>
      <c r="E174">
        <v>1.02593035017155E-2</v>
      </c>
      <c r="F174">
        <v>8.28532844760029E-3</v>
      </c>
      <c r="G174">
        <v>8.1388945074842203E-3</v>
      </c>
      <c r="H174">
        <v>7.8160078094767702E-3</v>
      </c>
    </row>
    <row r="175" spans="1:8" x14ac:dyDescent="0.25">
      <c r="A175" s="27">
        <v>41820</v>
      </c>
      <c r="B175">
        <v>6.3721970073286104E-3</v>
      </c>
      <c r="C175">
        <v>1.3818276359444099E-2</v>
      </c>
      <c r="D175">
        <v>5.4014906861124699E-3</v>
      </c>
      <c r="E175">
        <v>1.10311336647539E-2</v>
      </c>
      <c r="F175">
        <v>7.4849869473818499E-3</v>
      </c>
      <c r="G175">
        <v>1.30780246855665E-2</v>
      </c>
      <c r="H175">
        <v>1.8750370949258698E-2</v>
      </c>
    </row>
    <row r="176" spans="1:8" x14ac:dyDescent="0.25">
      <c r="A176" s="27">
        <v>41851</v>
      </c>
      <c r="B176">
        <v>-9.6677925706781E-3</v>
      </c>
      <c r="C176">
        <v>-5.7278917939786005E-3</v>
      </c>
      <c r="D176">
        <v>-3.9062817280212901E-3</v>
      </c>
      <c r="E176">
        <v>-1.3619528337699E-3</v>
      </c>
      <c r="F176">
        <v>3.0132598005129701E-3</v>
      </c>
      <c r="G176">
        <v>-6.1539101178398302E-3</v>
      </c>
      <c r="H176">
        <v>-1.1112964053036E-2</v>
      </c>
    </row>
    <row r="177" spans="1:8" x14ac:dyDescent="0.25">
      <c r="A177" s="27">
        <v>41882</v>
      </c>
      <c r="B177">
        <v>1.9812532044040602E-2</v>
      </c>
      <c r="C177">
        <v>1.5796557161548701E-2</v>
      </c>
      <c r="D177">
        <v>1.42864876810967E-2</v>
      </c>
      <c r="E177">
        <v>1.0166466843003298E-2</v>
      </c>
      <c r="F177">
        <v>4.1234272932166999E-3</v>
      </c>
      <c r="G177">
        <v>1.6911364669344699E-2</v>
      </c>
      <c r="H177">
        <v>1.9268702542709598E-2</v>
      </c>
    </row>
    <row r="178" spans="1:8" x14ac:dyDescent="0.25">
      <c r="A178" s="27">
        <v>41912</v>
      </c>
      <c r="B178">
        <v>7.6032354552683602E-3</v>
      </c>
      <c r="C178">
        <v>-1.6527887372942E-3</v>
      </c>
      <c r="D178">
        <v>-7.8711238051539494E-3</v>
      </c>
      <c r="E178">
        <v>-2.8456797220721801E-3</v>
      </c>
      <c r="F178">
        <v>2.5916964414498798E-3</v>
      </c>
      <c r="G178">
        <v>-5.3468400692287493E-4</v>
      </c>
      <c r="H178">
        <v>-1.4509323108612899E-2</v>
      </c>
    </row>
    <row r="179" spans="1:8" x14ac:dyDescent="0.25">
      <c r="A179" s="27">
        <v>41943</v>
      </c>
      <c r="B179">
        <v>4.9314534254387699E-3</v>
      </c>
      <c r="C179">
        <v>-4.3117921222441003E-3</v>
      </c>
      <c r="D179">
        <v>-1.27505643328836E-2</v>
      </c>
      <c r="E179">
        <v>-3.4881780522905996E-3</v>
      </c>
      <c r="F179">
        <v>4.8467915511344397E-4</v>
      </c>
      <c r="G179">
        <v>-5.3936819641646708E-3</v>
      </c>
      <c r="H179">
        <v>1.00470605520314E-3</v>
      </c>
    </row>
    <row r="180" spans="1:8" x14ac:dyDescent="0.25">
      <c r="A180" s="27">
        <v>41973</v>
      </c>
      <c r="B180">
        <v>2.1236416734405399E-2</v>
      </c>
      <c r="C180">
        <v>7.7817571212902307E-3</v>
      </c>
      <c r="D180">
        <v>3.7929249591047197E-3</v>
      </c>
      <c r="E180">
        <v>3.88773334166608E-3</v>
      </c>
      <c r="F180">
        <v>1.5752632828509299E-3</v>
      </c>
      <c r="G180">
        <v>8.4525377787903408E-3</v>
      </c>
      <c r="H180">
        <v>6.4520867522252804E-3</v>
      </c>
    </row>
    <row r="181" spans="1:8" x14ac:dyDescent="0.25">
      <c r="A181" s="27">
        <v>42004</v>
      </c>
      <c r="B181">
        <v>9.1830783538049791E-3</v>
      </c>
      <c r="C181">
        <v>1.8391811774332899E-3</v>
      </c>
      <c r="D181">
        <v>-8.984806733816999E-4</v>
      </c>
      <c r="E181">
        <v>-6.8575000746987709E-4</v>
      </c>
      <c r="F181">
        <v>-1.7848033175608099E-3</v>
      </c>
      <c r="G181">
        <v>1.7490975230550901E-3</v>
      </c>
      <c r="H181">
        <v>1.5313019573369099E-3</v>
      </c>
    </row>
    <row r="182" spans="1:8" x14ac:dyDescent="0.25">
      <c r="A182" s="27">
        <v>42035</v>
      </c>
      <c r="B182">
        <v>1.39117900980516E-2</v>
      </c>
      <c r="C182">
        <v>-4.9906568179181705E-4</v>
      </c>
      <c r="D182">
        <v>-2.4948571251124201E-3</v>
      </c>
      <c r="E182">
        <v>-8.0665542793121707E-3</v>
      </c>
      <c r="F182">
        <v>-3.5943183556115597E-3</v>
      </c>
      <c r="G182">
        <v>1.15916049274672E-3</v>
      </c>
      <c r="H182">
        <v>-1.0429724601804899E-2</v>
      </c>
    </row>
    <row r="183" spans="1:8" x14ac:dyDescent="0.25">
      <c r="A183" s="27">
        <v>42063</v>
      </c>
      <c r="B183">
        <v>1.25131111477783E-2</v>
      </c>
      <c r="C183">
        <v>2.1444087733930001E-2</v>
      </c>
      <c r="D183">
        <v>1.7241171651902001E-2</v>
      </c>
      <c r="E183">
        <v>1.7910436187153898E-2</v>
      </c>
      <c r="F183">
        <v>1.1993786886056399E-2</v>
      </c>
      <c r="G183">
        <v>1.9891849211019701E-2</v>
      </c>
      <c r="H183">
        <v>3.1526368538379201E-2</v>
      </c>
    </row>
    <row r="184" spans="1:8" x14ac:dyDescent="0.25">
      <c r="A184" s="27">
        <v>42094</v>
      </c>
      <c r="B184">
        <v>2.2532969289230001E-2</v>
      </c>
      <c r="C184">
        <v>3.56763553497707E-3</v>
      </c>
      <c r="D184">
        <v>3.7909880824968699E-3</v>
      </c>
      <c r="E184">
        <v>3.8794711492941502E-3</v>
      </c>
      <c r="F184">
        <v>4.1825091072177504E-3</v>
      </c>
      <c r="G184">
        <v>2.84737070272083E-3</v>
      </c>
      <c r="H184">
        <v>3.55254418757847E-3</v>
      </c>
    </row>
    <row r="185" spans="1:8" x14ac:dyDescent="0.25">
      <c r="A185" s="27">
        <v>42124</v>
      </c>
      <c r="B185">
        <v>-1.4501988079670401E-2</v>
      </c>
      <c r="C185">
        <v>6.8084790278422102E-4</v>
      </c>
      <c r="D185">
        <v>1.0724483388603601E-2</v>
      </c>
      <c r="E185">
        <v>4.4287875418752495E-3</v>
      </c>
      <c r="F185">
        <v>5.5857702563756294E-3</v>
      </c>
      <c r="G185">
        <v>-8.1719533988254404E-4</v>
      </c>
      <c r="H185">
        <v>-3.8131320153260401E-4</v>
      </c>
    </row>
    <row r="186" spans="1:8" x14ac:dyDescent="0.25">
      <c r="A186" s="27">
        <v>42155</v>
      </c>
      <c r="B186">
        <v>1.11727576307182E-2</v>
      </c>
      <c r="C186">
        <v>8.8525963724068995E-3</v>
      </c>
      <c r="D186">
        <v>4.8907680667603301E-3</v>
      </c>
      <c r="E186">
        <v>7.0140976463375004E-3</v>
      </c>
      <c r="F186">
        <v>1.3894601574865801E-3</v>
      </c>
      <c r="G186">
        <v>8.6238114873139708E-3</v>
      </c>
      <c r="H186">
        <v>1.3199268413083401E-2</v>
      </c>
    </row>
    <row r="187" spans="1:8" x14ac:dyDescent="0.25">
      <c r="A187" s="27">
        <v>42185</v>
      </c>
      <c r="B187">
        <v>-3.6230164076207E-3</v>
      </c>
      <c r="C187">
        <v>-4.9339905127923399E-3</v>
      </c>
      <c r="D187">
        <v>-6.3908218794879604E-3</v>
      </c>
      <c r="E187">
        <v>-3.6257133515146898E-3</v>
      </c>
      <c r="F187">
        <v>-4.3681369448819903E-3</v>
      </c>
      <c r="G187">
        <v>-5.7875610089795108E-3</v>
      </c>
      <c r="H187">
        <v>-3.39898331859371E-3</v>
      </c>
    </row>
    <row r="188" spans="1:8" x14ac:dyDescent="0.25">
      <c r="A188" s="27">
        <v>42216</v>
      </c>
      <c r="B188">
        <v>2.6882101622070002E-2</v>
      </c>
      <c r="C188">
        <v>1.7942779485118601E-3</v>
      </c>
      <c r="D188">
        <v>6.0874855264404504E-3</v>
      </c>
      <c r="E188">
        <v>-7.8450689954285104E-4</v>
      </c>
      <c r="F188">
        <v>-1.12526232540514E-3</v>
      </c>
      <c r="G188">
        <v>2.3156678687729099E-3</v>
      </c>
      <c r="H188">
        <v>-1.6888340513784501E-3</v>
      </c>
    </row>
    <row r="189" spans="1:8" x14ac:dyDescent="0.25">
      <c r="A189" s="27">
        <v>42247</v>
      </c>
      <c r="B189">
        <v>-5.9964843079467499E-2</v>
      </c>
      <c r="C189">
        <v>-2.1560404013945E-2</v>
      </c>
      <c r="D189">
        <v>-1.47097710062231E-2</v>
      </c>
      <c r="E189">
        <v>-1.66173544849877E-2</v>
      </c>
      <c r="F189">
        <v>-3.2837314925722198E-3</v>
      </c>
      <c r="G189">
        <v>-2.3362886165546302E-2</v>
      </c>
      <c r="H189">
        <v>-2.58850086793827E-2</v>
      </c>
    </row>
    <row r="190" spans="1:8" x14ac:dyDescent="0.25">
      <c r="A190" s="27">
        <v>42277</v>
      </c>
      <c r="B190">
        <v>-2.0476877020009901E-2</v>
      </c>
      <c r="C190">
        <v>-1.18547539510393E-2</v>
      </c>
      <c r="D190">
        <v>4.3149881524866904E-3</v>
      </c>
      <c r="E190">
        <v>-1.47568092102651E-2</v>
      </c>
      <c r="F190">
        <v>-5.2415657772038804E-3</v>
      </c>
      <c r="G190">
        <v>-1.04012049016085E-2</v>
      </c>
      <c r="H190">
        <v>-2.0698428162574899E-2</v>
      </c>
    </row>
    <row r="191" spans="1:8" x14ac:dyDescent="0.25">
      <c r="A191" s="27">
        <v>42308</v>
      </c>
      <c r="B191">
        <v>4.2370901814775701E-2</v>
      </c>
      <c r="C191">
        <v>1.6645472959735799E-2</v>
      </c>
      <c r="D191">
        <v>1.69882129627313E-2</v>
      </c>
      <c r="E191">
        <v>1.0673393433466101E-2</v>
      </c>
      <c r="F191">
        <v>4.5185891275372498E-3</v>
      </c>
      <c r="G191">
        <v>1.6414129158115701E-2</v>
      </c>
      <c r="H191">
        <v>2.8266047947011E-2</v>
      </c>
    </row>
    <row r="192" spans="1:8" x14ac:dyDescent="0.25">
      <c r="A192" s="27">
        <v>42338</v>
      </c>
      <c r="B192">
        <v>-2.6179354004771897E-3</v>
      </c>
      <c r="C192">
        <v>3.3091506664374997E-3</v>
      </c>
      <c r="D192">
        <v>-1.35409229446654E-4</v>
      </c>
      <c r="E192">
        <v>-5.95707446418999E-4</v>
      </c>
      <c r="F192">
        <v>-1.5556886833034999E-3</v>
      </c>
      <c r="G192">
        <v>4.2221832645444905E-3</v>
      </c>
      <c r="H192">
        <v>2.6293030622453499E-3</v>
      </c>
    </row>
    <row r="193" spans="1:8" x14ac:dyDescent="0.25">
      <c r="A193" s="27">
        <v>42369</v>
      </c>
      <c r="B193">
        <v>5.6570530692747704E-3</v>
      </c>
      <c r="C193">
        <v>-9.8718503914726301E-3</v>
      </c>
      <c r="D193">
        <v>2.49272352539867E-3</v>
      </c>
      <c r="E193">
        <v>-7.8397006314331903E-3</v>
      </c>
      <c r="F193">
        <v>-5.0424973547116801E-3</v>
      </c>
      <c r="G193">
        <v>-1.1036417231685101E-2</v>
      </c>
      <c r="H193">
        <v>-1.5023485563232599E-2</v>
      </c>
    </row>
    <row r="194" spans="1:8" x14ac:dyDescent="0.25">
      <c r="A194" s="27">
        <v>42400</v>
      </c>
      <c r="B194">
        <v>-1.9532024039752599E-2</v>
      </c>
      <c r="C194">
        <v>-2.39584094389814E-2</v>
      </c>
      <c r="D194">
        <v>-8.8937795739794604E-3</v>
      </c>
      <c r="E194">
        <v>-2.1725657523123498E-2</v>
      </c>
      <c r="F194">
        <v>-1.2424357304552101E-2</v>
      </c>
      <c r="G194">
        <v>-2.3218414433842496E-2</v>
      </c>
      <c r="H194">
        <v>-3.8679078448334396E-2</v>
      </c>
    </row>
    <row r="195" spans="1:8" x14ac:dyDescent="0.25">
      <c r="A195" s="27">
        <v>42429</v>
      </c>
      <c r="B195">
        <v>1.2376649922973699E-2</v>
      </c>
      <c r="C195">
        <v>2.0140632818353298E-3</v>
      </c>
      <c r="D195">
        <v>1.35706812052132E-3</v>
      </c>
      <c r="E195">
        <v>-9.2967578439875301E-3</v>
      </c>
      <c r="F195">
        <v>-9.3719871413170293E-3</v>
      </c>
      <c r="G195">
        <v>3.9378638373532195E-3</v>
      </c>
      <c r="H195">
        <v>-1.1827945048225399E-3</v>
      </c>
    </row>
    <row r="196" spans="1:8" x14ac:dyDescent="0.25">
      <c r="A196" s="27">
        <v>42460</v>
      </c>
      <c r="B196">
        <v>1.79873509696413E-2</v>
      </c>
      <c r="C196">
        <v>2.0645881049226902E-2</v>
      </c>
      <c r="D196">
        <v>1.41177795702305E-2</v>
      </c>
      <c r="E196">
        <v>1.6359008711671601E-2</v>
      </c>
      <c r="F196">
        <v>1.6147844974422499E-2</v>
      </c>
      <c r="G196">
        <v>1.7522787205697402E-2</v>
      </c>
      <c r="H196">
        <v>2.5502353016167302E-2</v>
      </c>
    </row>
    <row r="197" spans="1:8" x14ac:dyDescent="0.25">
      <c r="A197" s="27">
        <v>42490</v>
      </c>
      <c r="B197">
        <v>-7.1206058404261396E-3</v>
      </c>
      <c r="C197">
        <v>1.26415948290014E-2</v>
      </c>
      <c r="D197">
        <v>8.47594860767425E-3</v>
      </c>
      <c r="E197">
        <v>1.4602532564326101E-2</v>
      </c>
      <c r="F197">
        <v>1.5568176601592701E-2</v>
      </c>
      <c r="G197">
        <v>1.2066984203661899E-2</v>
      </c>
      <c r="H197">
        <v>1.4524903827215101E-2</v>
      </c>
    </row>
    <row r="198" spans="1:8" x14ac:dyDescent="0.25">
      <c r="A198" s="27">
        <v>42521</v>
      </c>
      <c r="B198">
        <v>6.5174589064782894E-3</v>
      </c>
      <c r="C198">
        <v>9.5429629831231492E-3</v>
      </c>
      <c r="D198">
        <v>1.0486853218441202E-2</v>
      </c>
      <c r="E198">
        <v>1.12468926663414E-2</v>
      </c>
      <c r="F198">
        <v>8.5620525315530712E-3</v>
      </c>
      <c r="G198">
        <v>9.8613729268144205E-3</v>
      </c>
      <c r="H198">
        <v>9.0793250607925004E-3</v>
      </c>
    </row>
    <row r="199" spans="1:8" x14ac:dyDescent="0.25">
      <c r="A199" s="27">
        <v>42551</v>
      </c>
      <c r="B199">
        <v>-1.0936221635327601E-3</v>
      </c>
      <c r="C199">
        <v>3.2383069144629999E-3</v>
      </c>
      <c r="D199">
        <v>2.2671841201284499E-3</v>
      </c>
      <c r="E199">
        <v>5.0799691452929792E-3</v>
      </c>
      <c r="F199">
        <v>7.4534320868323402E-3</v>
      </c>
      <c r="G199">
        <v>4.1982117538377599E-3</v>
      </c>
      <c r="H199">
        <v>-1.3308288673805099E-3</v>
      </c>
    </row>
    <row r="200" spans="1:8" x14ac:dyDescent="0.25">
      <c r="A200" s="27">
        <v>42582</v>
      </c>
      <c r="B200">
        <v>7.4641811077676501E-3</v>
      </c>
      <c r="C200">
        <v>1.9032452745688599E-2</v>
      </c>
      <c r="D200">
        <v>1.0055853058303801E-2</v>
      </c>
      <c r="E200">
        <v>1.6458125974644598E-2</v>
      </c>
      <c r="F200">
        <v>1.3922250195955499E-2</v>
      </c>
      <c r="G200">
        <v>1.8783324989278399E-2</v>
      </c>
      <c r="H200">
        <v>2.7525351938546702E-2</v>
      </c>
    </row>
    <row r="201" spans="1:8" x14ac:dyDescent="0.25">
      <c r="A201" s="27">
        <v>42613</v>
      </c>
      <c r="B201">
        <v>-1.7888277080431302E-2</v>
      </c>
      <c r="C201">
        <v>5.8840305234384802E-3</v>
      </c>
      <c r="D201">
        <v>5.7716227696802905E-3</v>
      </c>
      <c r="E201">
        <v>1.05387452092797E-2</v>
      </c>
      <c r="F201">
        <v>8.0778883135012008E-3</v>
      </c>
      <c r="G201">
        <v>3.9183593754953897E-3</v>
      </c>
      <c r="H201">
        <v>8.4513741748838602E-3</v>
      </c>
    </row>
    <row r="202" spans="1:8" x14ac:dyDescent="0.25">
      <c r="A202" s="27">
        <v>42643</v>
      </c>
      <c r="B202">
        <v>-1.21110251832179E-2</v>
      </c>
      <c r="C202">
        <v>7.37380606808994E-3</v>
      </c>
      <c r="D202">
        <v>1.99590965555438E-3</v>
      </c>
      <c r="E202">
        <v>5.7293854628520605E-3</v>
      </c>
      <c r="F202">
        <v>6.6103485327687703E-3</v>
      </c>
      <c r="G202">
        <v>6.5610459409141996E-3</v>
      </c>
      <c r="H202">
        <v>1.1257655187491E-2</v>
      </c>
    </row>
    <row r="203" spans="1:8" x14ac:dyDescent="0.25">
      <c r="A203" s="27">
        <v>42674</v>
      </c>
      <c r="B203">
        <v>-1.2477575800747201E-2</v>
      </c>
      <c r="C203">
        <v>-5.44074758146569E-3</v>
      </c>
      <c r="D203">
        <v>4.48323223718249E-3</v>
      </c>
      <c r="E203">
        <v>1.0747126190835501E-3</v>
      </c>
      <c r="F203">
        <v>5.3840484684199892E-3</v>
      </c>
      <c r="G203">
        <v>-6.1303022914212602E-3</v>
      </c>
      <c r="H203">
        <v>-1.16518378610671E-2</v>
      </c>
    </row>
    <row r="204" spans="1:8" x14ac:dyDescent="0.25">
      <c r="A204" s="27">
        <v>42704</v>
      </c>
      <c r="B204">
        <v>-3.0795817829484301E-3</v>
      </c>
      <c r="C204">
        <v>1.6827073732065802E-2</v>
      </c>
      <c r="D204">
        <v>5.0577535818387897E-3</v>
      </c>
      <c r="E204">
        <v>1.1514470372869502E-2</v>
      </c>
      <c r="F204">
        <v>3.71021593085898E-3</v>
      </c>
      <c r="G204">
        <v>1.53523938907002E-2</v>
      </c>
      <c r="H204">
        <v>3.0157566043918699E-2</v>
      </c>
    </row>
    <row r="205" spans="1:8" x14ac:dyDescent="0.25">
      <c r="A205" s="27">
        <v>42735</v>
      </c>
      <c r="B205">
        <v>1.5904694218472001E-2</v>
      </c>
      <c r="C205">
        <v>1.12222006786241E-2</v>
      </c>
      <c r="D205">
        <v>5.21250585061943E-3</v>
      </c>
      <c r="E205">
        <v>1.30605856925238E-2</v>
      </c>
      <c r="F205">
        <v>9.627467308148379E-3</v>
      </c>
      <c r="G205">
        <v>9.8886361863419203E-3</v>
      </c>
      <c r="H205">
        <v>1.4093570056965401E-2</v>
      </c>
    </row>
    <row r="206" spans="1:8" x14ac:dyDescent="0.25">
      <c r="A206" s="27">
        <v>42766</v>
      </c>
      <c r="B206">
        <v>1.21623375105742E-2</v>
      </c>
      <c r="C206">
        <v>1.0325053079205998E-2</v>
      </c>
      <c r="D206">
        <v>5.56332737271045E-3</v>
      </c>
      <c r="E206">
        <v>1.3383439626253E-2</v>
      </c>
      <c r="F206">
        <v>1.2082681413145301E-2</v>
      </c>
      <c r="G206">
        <v>9.6638358534464393E-3</v>
      </c>
      <c r="H206">
        <v>1.0847581255742599E-2</v>
      </c>
    </row>
    <row r="207" spans="1:8" x14ac:dyDescent="0.25">
      <c r="A207" s="27">
        <v>42794</v>
      </c>
      <c r="B207">
        <v>1.8422926889672498E-2</v>
      </c>
      <c r="C207">
        <v>6.06158070571256E-3</v>
      </c>
      <c r="D207">
        <v>3.3052732150693699E-3</v>
      </c>
      <c r="E207">
        <v>8.3014422328889399E-3</v>
      </c>
      <c r="F207">
        <v>7.3280698683089E-3</v>
      </c>
      <c r="G207">
        <v>5.11714008791602E-3</v>
      </c>
      <c r="H207">
        <v>9.2779454079941412E-3</v>
      </c>
    </row>
    <row r="208" spans="1:8" x14ac:dyDescent="0.25">
      <c r="A208" s="27">
        <v>42825</v>
      </c>
      <c r="B208">
        <v>-3.81677171235254E-5</v>
      </c>
      <c r="C208">
        <v>4.5635144641149403E-3</v>
      </c>
      <c r="D208">
        <v>8.8161241847920496E-3</v>
      </c>
      <c r="E208">
        <v>4.69524431151343E-3</v>
      </c>
      <c r="F208">
        <v>4.3036710946862504E-3</v>
      </c>
      <c r="G208">
        <v>4.7951497281171597E-3</v>
      </c>
      <c r="H208">
        <v>3.51413399722605E-3</v>
      </c>
    </row>
    <row r="209" spans="1:8" x14ac:dyDescent="0.25">
      <c r="A209" s="27">
        <v>42855</v>
      </c>
      <c r="B209">
        <v>-4.64945544967063E-3</v>
      </c>
      <c r="C209">
        <v>6.0158549213704705E-3</v>
      </c>
      <c r="D209">
        <v>7.0614948646786999E-3</v>
      </c>
      <c r="E209">
        <v>6.0588206836933002E-3</v>
      </c>
      <c r="F209">
        <v>4.7590003368878806E-3</v>
      </c>
      <c r="G209">
        <v>5.9254531294225801E-3</v>
      </c>
      <c r="H209">
        <v>5.6183560897709491E-3</v>
      </c>
    </row>
    <row r="210" spans="1:8" x14ac:dyDescent="0.25">
      <c r="A210" s="27">
        <v>42886</v>
      </c>
      <c r="B210">
        <v>1.4867560375405299E-2</v>
      </c>
      <c r="C210">
        <v>-2.2846159923700399E-4</v>
      </c>
      <c r="D210">
        <v>5.0428063208329595E-3</v>
      </c>
      <c r="E210">
        <v>5.9310546888559504E-3</v>
      </c>
      <c r="F210">
        <v>5.61290142250337E-3</v>
      </c>
      <c r="G210">
        <v>-1.23838614229053E-3</v>
      </c>
      <c r="H210">
        <v>-5.7265283836082301E-3</v>
      </c>
    </row>
    <row r="211" spans="1:8" x14ac:dyDescent="0.25">
      <c r="A211" s="27">
        <v>42916</v>
      </c>
      <c r="B211">
        <v>-6.1187044301441096E-3</v>
      </c>
      <c r="C211">
        <v>4.3241249110230898E-3</v>
      </c>
      <c r="D211">
        <v>7.9486827015153704E-3</v>
      </c>
      <c r="E211">
        <v>2.19538938448795E-3</v>
      </c>
      <c r="F211">
        <v>4.01539952410793E-3</v>
      </c>
      <c r="G211">
        <v>3.7398934759157996E-3</v>
      </c>
      <c r="H211">
        <v>7.1291456991256297E-3</v>
      </c>
    </row>
    <row r="212" spans="1:8" x14ac:dyDescent="0.25">
      <c r="A212" s="27">
        <v>42947</v>
      </c>
      <c r="B212">
        <v>5.5146868855299501E-3</v>
      </c>
      <c r="C212">
        <v>6.1062731946926394E-3</v>
      </c>
      <c r="D212">
        <v>3.6266970223001898E-3</v>
      </c>
      <c r="E212">
        <v>5.6961029134825706E-3</v>
      </c>
      <c r="F212">
        <v>7.7610427760683096E-3</v>
      </c>
      <c r="G212">
        <v>6.3748886969130199E-3</v>
      </c>
      <c r="H212">
        <v>5.80603894687713E-3</v>
      </c>
    </row>
    <row r="213" spans="1:8" x14ac:dyDescent="0.25">
      <c r="A213" s="27">
        <v>42978</v>
      </c>
      <c r="B213">
        <v>5.2953484495854601E-3</v>
      </c>
      <c r="C213">
        <v>1.73980284931953E-3</v>
      </c>
      <c r="D213">
        <v>3.3642068098603101E-3</v>
      </c>
      <c r="E213">
        <v>3.0630696299668398E-3</v>
      </c>
      <c r="F213">
        <v>2.8817360107940898E-3</v>
      </c>
      <c r="G213">
        <v>1.47224411025001E-3</v>
      </c>
      <c r="H213">
        <v>1.8002513747739E-3</v>
      </c>
    </row>
    <row r="214" spans="1:8" x14ac:dyDescent="0.25">
      <c r="A214" s="27">
        <v>43008</v>
      </c>
      <c r="B214">
        <v>9.8921969663635194E-3</v>
      </c>
      <c r="C214">
        <v>1.0260621369863401E-2</v>
      </c>
      <c r="D214">
        <v>2.9695081369487701E-3</v>
      </c>
      <c r="E214">
        <v>7.5160000877989193E-3</v>
      </c>
      <c r="F214">
        <v>5.4997010171939798E-3</v>
      </c>
      <c r="G214">
        <v>9.1726557799472891E-3</v>
      </c>
      <c r="H214">
        <v>1.71379098521822E-2</v>
      </c>
    </row>
    <row r="215" spans="1:8" x14ac:dyDescent="0.25">
      <c r="A215" s="27">
        <v>43039</v>
      </c>
      <c r="B215">
        <v>2.2504075752221801E-3</v>
      </c>
      <c r="C215">
        <v>5.1256481438550806E-3</v>
      </c>
      <c r="D215">
        <v>2.27220188713523E-3</v>
      </c>
      <c r="E215">
        <v>6.4731882547400003E-3</v>
      </c>
      <c r="F215">
        <v>3.3242295364696102E-3</v>
      </c>
      <c r="G215">
        <v>5.0592590597152397E-3</v>
      </c>
      <c r="H215">
        <v>6.6204826662781702E-3</v>
      </c>
    </row>
    <row r="216" spans="1:8" x14ac:dyDescent="0.25">
      <c r="A216" s="27">
        <v>43069</v>
      </c>
      <c r="B216">
        <v>1.71091255391926E-2</v>
      </c>
      <c r="C216">
        <v>8.7464409166456807E-3</v>
      </c>
      <c r="D216">
        <v>8.7269842114939095E-4</v>
      </c>
      <c r="E216">
        <v>3.6841896199349602E-3</v>
      </c>
      <c r="F216">
        <v>2.48743430061778E-3</v>
      </c>
      <c r="G216">
        <v>8.8537456175857496E-3</v>
      </c>
      <c r="H216">
        <v>1.50204374253444E-2</v>
      </c>
    </row>
    <row r="217" spans="1:8" x14ac:dyDescent="0.25">
      <c r="A217" s="27">
        <v>43100</v>
      </c>
      <c r="B217">
        <v>1.1267275560430801E-2</v>
      </c>
      <c r="C217">
        <v>1.3716767888883801E-2</v>
      </c>
      <c r="D217">
        <v>6.8526444642943891E-3</v>
      </c>
      <c r="E217">
        <v>1.20472930686424E-2</v>
      </c>
      <c r="F217">
        <v>5.7996022022304304E-3</v>
      </c>
      <c r="G217">
        <v>1.3297026405973401E-2</v>
      </c>
      <c r="H217">
        <v>1.8388835162765599E-2</v>
      </c>
    </row>
    <row r="218" spans="1:8" x14ac:dyDescent="0.25">
      <c r="A218" s="27">
        <v>43131</v>
      </c>
      <c r="B218">
        <v>1.4708459520423E-2</v>
      </c>
      <c r="C218">
        <v>1.5654980330331299E-2</v>
      </c>
      <c r="D218">
        <v>2.0414939637913702E-3</v>
      </c>
      <c r="E218">
        <v>1.4927589477782199E-2</v>
      </c>
      <c r="F218">
        <v>9.5905080646939006E-3</v>
      </c>
      <c r="G218">
        <v>1.4609029295228799E-2</v>
      </c>
      <c r="H218">
        <v>2.3067170626647902E-2</v>
      </c>
    </row>
    <row r="219" spans="1:8" x14ac:dyDescent="0.25">
      <c r="A219" s="27">
        <v>43159</v>
      </c>
      <c r="B219">
        <v>-5.4104868269840095E-2</v>
      </c>
      <c r="C219">
        <v>-1.4535849347176199E-2</v>
      </c>
      <c r="D219">
        <v>-1.8582515550511301E-2</v>
      </c>
      <c r="E219">
        <v>-1.2663439607802999E-2</v>
      </c>
      <c r="F219">
        <v>3.63627997730825E-3</v>
      </c>
      <c r="G219">
        <v>-1.6003157376637201E-2</v>
      </c>
      <c r="H219">
        <v>-1.78764166777482E-2</v>
      </c>
    </row>
    <row r="220" spans="1:8" x14ac:dyDescent="0.25">
      <c r="A220" s="27">
        <v>43190</v>
      </c>
      <c r="B220">
        <v>-5.1891322363273699E-3</v>
      </c>
      <c r="C220">
        <v>-5.5645602274637593E-3</v>
      </c>
      <c r="D220">
        <v>-5.06387193815844E-3</v>
      </c>
      <c r="E220">
        <v>7.2545117156398405E-4</v>
      </c>
      <c r="F220">
        <v>2.30982845920445E-3</v>
      </c>
      <c r="G220">
        <v>-7.7171890014688105E-3</v>
      </c>
      <c r="H220">
        <v>-5.6246170567145403E-3</v>
      </c>
    </row>
    <row r="221" spans="1:8" x14ac:dyDescent="0.25">
      <c r="A221" s="27">
        <v>43220</v>
      </c>
      <c r="B221">
        <v>-1.5214647839380899E-2</v>
      </c>
      <c r="C221">
        <v>5.2535366941173804E-3</v>
      </c>
      <c r="D221">
        <v>5.37969000111721E-3</v>
      </c>
      <c r="E221">
        <v>6.3664940927864802E-3</v>
      </c>
      <c r="F221">
        <v>6.5018742560478604E-3</v>
      </c>
      <c r="G221">
        <v>4.7702898346121706E-3</v>
      </c>
      <c r="H221">
        <v>5.8293958707030498E-3</v>
      </c>
    </row>
    <row r="222" spans="1:8" x14ac:dyDescent="0.25">
      <c r="A222" s="27">
        <v>43251</v>
      </c>
      <c r="B222">
        <v>1.8807075782652602E-2</v>
      </c>
      <c r="C222">
        <v>1.6053441939207099E-2</v>
      </c>
      <c r="D222">
        <v>7.7041280680250797E-3</v>
      </c>
      <c r="E222">
        <v>8.8568045518700594E-3</v>
      </c>
      <c r="F222">
        <v>5.7214286510740998E-3</v>
      </c>
      <c r="G222">
        <v>1.6832259670344199E-2</v>
      </c>
      <c r="H222">
        <v>2.6382455685793903E-2</v>
      </c>
    </row>
    <row r="223" spans="1:8" x14ac:dyDescent="0.25">
      <c r="A223" s="27">
        <v>43281</v>
      </c>
      <c r="B223">
        <v>-8.0303816792578701E-3</v>
      </c>
      <c r="C223">
        <v>7.1495546525602194E-4</v>
      </c>
      <c r="D223">
        <v>3.5733553478124601E-3</v>
      </c>
      <c r="E223">
        <v>2.8115181388113503E-3</v>
      </c>
      <c r="F223">
        <v>3.62492460610063E-3</v>
      </c>
      <c r="G223">
        <v>-1.5326778362237601E-4</v>
      </c>
      <c r="H223">
        <v>1.5110336243693802E-3</v>
      </c>
    </row>
    <row r="224" spans="1:8" x14ac:dyDescent="0.25">
      <c r="A224" s="27">
        <v>43312</v>
      </c>
      <c r="B224">
        <v>1.8628079178188699E-2</v>
      </c>
      <c r="C224">
        <v>7.7037932315002196E-3</v>
      </c>
      <c r="D224">
        <v>8.0003401161510106E-3</v>
      </c>
      <c r="E224">
        <v>1.09117756165268E-2</v>
      </c>
      <c r="F224">
        <v>7.3017116940772495E-3</v>
      </c>
      <c r="G224">
        <v>8.1830320208133595E-3</v>
      </c>
      <c r="H224">
        <v>7.1180303667924905E-3</v>
      </c>
    </row>
    <row r="225" spans="1:8" x14ac:dyDescent="0.25">
      <c r="A225" s="27">
        <v>43343</v>
      </c>
      <c r="B225">
        <v>2.4077428034692996E-2</v>
      </c>
      <c r="C225">
        <v>1.10051420172063E-2</v>
      </c>
      <c r="D225">
        <v>9.6372771579045502E-3</v>
      </c>
      <c r="E225">
        <v>8.771891069327041E-3</v>
      </c>
      <c r="F225">
        <v>4.6388266747899596E-3</v>
      </c>
      <c r="G225">
        <v>1.16422675191853E-2</v>
      </c>
      <c r="H225">
        <v>1.8823183719933599E-2</v>
      </c>
    </row>
    <row r="226" spans="1:8" x14ac:dyDescent="0.25">
      <c r="A226" s="27">
        <v>43373</v>
      </c>
      <c r="B226">
        <v>-6.7923786595869293E-3</v>
      </c>
      <c r="C226">
        <v>4.3918218081913401E-4</v>
      </c>
      <c r="D226">
        <v>3.8415121028780104E-3</v>
      </c>
      <c r="E226">
        <v>3.1507462386787199E-3</v>
      </c>
      <c r="F226">
        <v>3.3651220140816802E-3</v>
      </c>
      <c r="G226">
        <v>-4.3935783285491701E-4</v>
      </c>
      <c r="H226">
        <v>-9.1490197351062994E-4</v>
      </c>
    </row>
    <row r="227" spans="1:8" x14ac:dyDescent="0.25">
      <c r="A227" s="27">
        <v>43404</v>
      </c>
      <c r="B227">
        <v>-5.0612322422545597E-2</v>
      </c>
      <c r="C227">
        <v>-2.8161322888854201E-2</v>
      </c>
      <c r="D227">
        <v>-3.2686198508565599E-2</v>
      </c>
      <c r="E227">
        <v>-1.59086798453195E-2</v>
      </c>
      <c r="F227">
        <v>-3.8118830626016498E-3</v>
      </c>
      <c r="G227">
        <v>-3.0269725922379597E-2</v>
      </c>
      <c r="H227">
        <v>-4.0367768637069104E-2</v>
      </c>
    </row>
    <row r="228" spans="1:8" x14ac:dyDescent="0.25">
      <c r="A228" s="27">
        <v>43434</v>
      </c>
      <c r="B228">
        <v>5.9954627199804702E-3</v>
      </c>
      <c r="C228">
        <v>2.3122156878020901E-4</v>
      </c>
      <c r="D228">
        <v>4.9017004552295705E-2</v>
      </c>
      <c r="E228">
        <v>-1.78414455014576E-3</v>
      </c>
      <c r="F228">
        <v>-3.3565151985080898E-3</v>
      </c>
      <c r="G228">
        <v>1.7569386190522901E-3</v>
      </c>
      <c r="H228">
        <v>-6.6772636859623001E-3</v>
      </c>
    </row>
    <row r="229" spans="1:8" x14ac:dyDescent="0.25">
      <c r="A229" s="27">
        <v>43465</v>
      </c>
      <c r="B229">
        <v>-4.5820610214407705E-2</v>
      </c>
      <c r="C229">
        <v>-3.5785043593142198E-2</v>
      </c>
      <c r="D229">
        <v>-3.5754286531382802E-2</v>
      </c>
      <c r="E229">
        <v>-2.47167413927422E-2</v>
      </c>
      <c r="F229">
        <v>-1.03634256071284E-2</v>
      </c>
      <c r="G229">
        <v>-3.7443145589580298E-2</v>
      </c>
      <c r="H229">
        <v>-4.8778514787145601E-2</v>
      </c>
    </row>
    <row r="230" spans="1:8" x14ac:dyDescent="0.25">
      <c r="A230" s="27">
        <v>43496</v>
      </c>
      <c r="B230">
        <v>2.6128023172556501E-2</v>
      </c>
      <c r="C230">
        <v>3.5384428436810597E-2</v>
      </c>
      <c r="D230">
        <v>-5.4634893650758699E-3</v>
      </c>
      <c r="E230">
        <v>2.8861716643674099E-2</v>
      </c>
      <c r="F230">
        <v>1.6346784743984398E-2</v>
      </c>
      <c r="G230">
        <v>3.48309136754947E-2</v>
      </c>
      <c r="H230">
        <v>5.4366911557917702E-2</v>
      </c>
    </row>
    <row r="231" spans="1:8" x14ac:dyDescent="0.25">
      <c r="A231" s="27">
        <v>43524</v>
      </c>
      <c r="B231">
        <v>-1.4488186395031799E-3</v>
      </c>
      <c r="C231">
        <v>1.3923821078396801E-2</v>
      </c>
      <c r="D231">
        <v>9.2655199784641602E-3</v>
      </c>
      <c r="E231">
        <v>7.8990801412010207E-3</v>
      </c>
      <c r="F231">
        <v>8.0264529914021495E-3</v>
      </c>
      <c r="G231">
        <v>1.41293900344507E-2</v>
      </c>
      <c r="H231">
        <v>2.1071807606053299E-2</v>
      </c>
    </row>
    <row r="232" spans="1:8" x14ac:dyDescent="0.25">
      <c r="A232" s="27">
        <v>43555</v>
      </c>
      <c r="B232">
        <v>1.3959247594050902E-2</v>
      </c>
      <c r="C232">
        <v>4.3626078365601798E-3</v>
      </c>
      <c r="D232">
        <v>6.1560806307671403E-3</v>
      </c>
      <c r="E232">
        <v>4.3629138733286702E-3</v>
      </c>
      <c r="F232">
        <v>5.6737574330567196E-3</v>
      </c>
      <c r="G232">
        <v>3.9893883711926295E-3</v>
      </c>
      <c r="H232">
        <v>4.1578173400025099E-3</v>
      </c>
    </row>
    <row r="233" spans="1:8" x14ac:dyDescent="0.25">
      <c r="A233" s="27">
        <v>43585</v>
      </c>
      <c r="B233">
        <v>2.6530619772246099E-2</v>
      </c>
      <c r="C233">
        <v>1.3306575547173001E-2</v>
      </c>
      <c r="D233">
        <v>7.5057043130255796E-3</v>
      </c>
      <c r="E233">
        <v>1.2107821128829801E-2</v>
      </c>
      <c r="F233">
        <v>8.6083322836654191E-3</v>
      </c>
      <c r="G233">
        <v>1.29242004970729E-2</v>
      </c>
      <c r="H233">
        <v>1.8868780108970799E-2</v>
      </c>
    </row>
    <row r="234" spans="1:8" x14ac:dyDescent="0.25">
      <c r="A234" s="27">
        <v>43616</v>
      </c>
      <c r="B234">
        <v>-2.93061777820873E-2</v>
      </c>
      <c r="C234">
        <v>-1.56839088660875E-2</v>
      </c>
      <c r="D234">
        <v>-6.0825289836252596E-4</v>
      </c>
      <c r="E234">
        <v>-5.64020718429424E-3</v>
      </c>
      <c r="F234">
        <v>2.3487275218691699E-3</v>
      </c>
      <c r="G234">
        <v>-1.7132894883550499E-2</v>
      </c>
      <c r="H234">
        <v>-2.2484698264345401E-2</v>
      </c>
    </row>
    <row r="235" spans="1:8" x14ac:dyDescent="0.25">
      <c r="A235" s="27">
        <v>43646</v>
      </c>
      <c r="B235">
        <v>3.83576687931972E-2</v>
      </c>
      <c r="C235">
        <v>1.660468460147E-2</v>
      </c>
      <c r="D235">
        <v>7.1248382286186593E-3</v>
      </c>
      <c r="E235">
        <v>1.2541746507285101E-2</v>
      </c>
      <c r="F235">
        <v>3.5179776386120199E-3</v>
      </c>
      <c r="G235">
        <v>1.6267361542855199E-2</v>
      </c>
      <c r="H235">
        <v>2.2006911317265301E-2</v>
      </c>
    </row>
    <row r="236" spans="1:8" x14ac:dyDescent="0.25">
      <c r="A236" s="27">
        <v>43677</v>
      </c>
      <c r="B236">
        <v>1.32473780367317E-3</v>
      </c>
      <c r="C236">
        <v>3.4506061078093397E-3</v>
      </c>
      <c r="D236">
        <v>7.7729921972733993E-3</v>
      </c>
      <c r="E236">
        <v>4.8233963047911999E-3</v>
      </c>
      <c r="F236">
        <v>4.6449250019175098E-3</v>
      </c>
      <c r="G236">
        <v>3.4791640773266601E-3</v>
      </c>
      <c r="H236">
        <v>5.2758052889694991E-3</v>
      </c>
    </row>
    <row r="237" spans="1:8" x14ac:dyDescent="0.25">
      <c r="A237" s="27">
        <v>43708</v>
      </c>
      <c r="B237">
        <v>-1.26603890275514E-2</v>
      </c>
      <c r="C237">
        <v>-1.0146486905063701E-2</v>
      </c>
      <c r="D237">
        <v>2.6019297916630101E-3</v>
      </c>
      <c r="E237">
        <v>-5.2397258373328105E-3</v>
      </c>
      <c r="F237">
        <v>2.1757050001687601E-4</v>
      </c>
      <c r="G237">
        <v>-1.1714915438440401E-2</v>
      </c>
      <c r="H237">
        <v>-1.66363832723435E-2</v>
      </c>
    </row>
    <row r="238" spans="1:8" x14ac:dyDescent="0.25">
      <c r="A238" s="27">
        <v>43738</v>
      </c>
      <c r="B238">
        <v>-1.5132424960506602E-2</v>
      </c>
      <c r="C238">
        <v>-3.2613585744243299E-4</v>
      </c>
      <c r="D238">
        <v>1.3136449497089999E-3</v>
      </c>
      <c r="E238">
        <v>3.06856193296465E-3</v>
      </c>
      <c r="F238">
        <v>3.0320479187416899E-3</v>
      </c>
      <c r="G238">
        <v>-1.59759592540127E-3</v>
      </c>
      <c r="H238">
        <v>-1.6102864779686098E-3</v>
      </c>
    </row>
    <row r="239" spans="1:8" x14ac:dyDescent="0.25">
      <c r="A239" s="27">
        <v>43769</v>
      </c>
      <c r="B239">
        <v>-5.8018120393121594E-3</v>
      </c>
      <c r="C239">
        <v>4.2741588019230897E-3</v>
      </c>
      <c r="D239">
        <v>7.0887325133784495E-3</v>
      </c>
      <c r="E239">
        <v>-1.1291986773919501E-3</v>
      </c>
      <c r="F239">
        <v>5.6307908632327293E-4</v>
      </c>
      <c r="G239">
        <v>3.6517432988170898E-3</v>
      </c>
      <c r="H239">
        <v>7.9491006406684703E-3</v>
      </c>
    </row>
    <row r="240" spans="1:8" x14ac:dyDescent="0.25">
      <c r="A240" s="27">
        <v>43799</v>
      </c>
      <c r="B240">
        <v>1.6814815668203399E-2</v>
      </c>
      <c r="C240">
        <v>1.3377554624033601E-2</v>
      </c>
      <c r="D240">
        <v>5.1959533262954105E-3</v>
      </c>
      <c r="E240">
        <v>6.0143453562385195E-3</v>
      </c>
      <c r="F240">
        <v>3.26841908396439E-3</v>
      </c>
      <c r="G240">
        <v>1.2245399963672401E-2</v>
      </c>
      <c r="H240">
        <v>2.0509150531689099E-2</v>
      </c>
    </row>
    <row r="241" spans="1:8" x14ac:dyDescent="0.25">
      <c r="A241" s="27">
        <v>43830</v>
      </c>
      <c r="B241">
        <v>-4.0103951760793203E-3</v>
      </c>
      <c r="C241">
        <v>1.27526735781945E-2</v>
      </c>
      <c r="D241">
        <v>6.9517007592985406E-3</v>
      </c>
      <c r="E241">
        <v>8.7217158510605099E-3</v>
      </c>
      <c r="F241">
        <v>1.0205473210929E-2</v>
      </c>
      <c r="G241">
        <v>1.32055558644816E-2</v>
      </c>
      <c r="H241">
        <v>1.47059309133349E-2</v>
      </c>
    </row>
    <row r="242" spans="1:8" x14ac:dyDescent="0.25">
      <c r="A242" s="27">
        <v>43861</v>
      </c>
      <c r="B242">
        <v>4.4592590446335097E-3</v>
      </c>
      <c r="C242">
        <v>-1.7725974842948899E-3</v>
      </c>
      <c r="D242">
        <v>3.6093362929654899E-3</v>
      </c>
      <c r="E242">
        <v>4.6836900201707495E-3</v>
      </c>
      <c r="F242">
        <v>8.6534183275028802E-3</v>
      </c>
      <c r="G242">
        <v>-3.4083330452471701E-3</v>
      </c>
      <c r="H242">
        <v>-6.3219943646776302E-3</v>
      </c>
    </row>
    <row r="243" spans="1:8" x14ac:dyDescent="0.25">
      <c r="A243" s="27">
        <v>43890</v>
      </c>
      <c r="B243">
        <v>-2.0602032727898002E-2</v>
      </c>
      <c r="C243">
        <v>-2.8338061159982501E-2</v>
      </c>
      <c r="D243">
        <v>-2.2446383997086202E-2</v>
      </c>
      <c r="E243">
        <v>-2.57782508991483E-2</v>
      </c>
      <c r="F243">
        <v>-5.5001298410524901E-4</v>
      </c>
      <c r="G243">
        <v>-3.0210071227734399E-2</v>
      </c>
      <c r="H243">
        <v>-3.6763290998871399E-2</v>
      </c>
    </row>
    <row r="244" spans="1:8" x14ac:dyDescent="0.25">
      <c r="A244" s="27">
        <v>43921</v>
      </c>
      <c r="B244">
        <v>-3.0116241951051399E-2</v>
      </c>
      <c r="C244">
        <v>-7.4890843672089091E-2</v>
      </c>
      <c r="D244">
        <v>-1.60120042673692E-2</v>
      </c>
      <c r="E244">
        <v>-0.105725574584265</v>
      </c>
      <c r="F244">
        <v>-0.124518901200229</v>
      </c>
      <c r="G244">
        <v>-6.6487294358998306E-2</v>
      </c>
      <c r="H244">
        <v>-9.9635512245902003E-2</v>
      </c>
    </row>
    <row r="245" spans="1:8" x14ac:dyDescent="0.25">
      <c r="A245" s="27">
        <v>43951</v>
      </c>
      <c r="B245">
        <v>4.5374781431677801E-2</v>
      </c>
      <c r="C245">
        <v>5.5141276468107299E-2</v>
      </c>
      <c r="D245">
        <v>2.1316191412425401E-2</v>
      </c>
      <c r="E245">
        <v>4.4426091915708801E-2</v>
      </c>
      <c r="F245">
        <v>2.6660553042675603E-2</v>
      </c>
      <c r="G245">
        <v>5.4013609645618604E-2</v>
      </c>
      <c r="H245">
        <v>7.9237081540299195E-2</v>
      </c>
    </row>
    <row r="246" spans="1:8" x14ac:dyDescent="0.25">
      <c r="A246" s="27">
        <v>43982</v>
      </c>
      <c r="B246">
        <v>4.05152383117382E-2</v>
      </c>
      <c r="C246">
        <v>3.0769791719563198E-2</v>
      </c>
      <c r="D246">
        <v>8.3974283833433711E-3</v>
      </c>
      <c r="E246">
        <v>2.6565280840485997E-2</v>
      </c>
      <c r="F246">
        <v>2.96144241397183E-2</v>
      </c>
      <c r="G246">
        <v>2.7961434233434203E-2</v>
      </c>
      <c r="H246">
        <v>4.22397537740586E-2</v>
      </c>
    </row>
    <row r="247" spans="1:8" x14ac:dyDescent="0.25">
      <c r="A247" s="27">
        <v>44012</v>
      </c>
      <c r="B247">
        <v>5.1470772946858999E-2</v>
      </c>
      <c r="C247">
        <v>1.7517056089864102E-2</v>
      </c>
      <c r="D247">
        <v>9.8352449651287893E-3</v>
      </c>
      <c r="E247">
        <v>1.29965108215747E-2</v>
      </c>
      <c r="F247">
        <v>2.3197680217077198E-2</v>
      </c>
      <c r="G247">
        <v>1.5516787550606701E-2</v>
      </c>
      <c r="H247">
        <v>2.4336726325712998E-2</v>
      </c>
    </row>
    <row r="248" spans="1:8" x14ac:dyDescent="0.25">
      <c r="A248" s="27">
        <v>44043</v>
      </c>
      <c r="B248">
        <v>4.7714467766117999E-2</v>
      </c>
      <c r="C248">
        <v>2.78240271795776E-2</v>
      </c>
      <c r="D248">
        <v>1.6905184002607401E-2</v>
      </c>
      <c r="E248">
        <v>2.0438186610721699E-2</v>
      </c>
      <c r="F248">
        <v>1.7324515729804101E-2</v>
      </c>
      <c r="G248">
        <v>2.80245901558096E-2</v>
      </c>
      <c r="H248">
        <v>3.6286698707708197E-2</v>
      </c>
    </row>
    <row r="249" spans="1:8" x14ac:dyDescent="0.25">
      <c r="A249" s="27">
        <v>44074</v>
      </c>
      <c r="B249">
        <v>2.99105211406091E-2</v>
      </c>
      <c r="C249">
        <v>2.5430035988076402E-2</v>
      </c>
      <c r="D249">
        <v>1.0480171445989599E-2</v>
      </c>
      <c r="E249">
        <v>1.76574152266115E-2</v>
      </c>
      <c r="F249">
        <v>1.5895653175634298E-2</v>
      </c>
      <c r="G249">
        <v>2.4270849957610498E-2</v>
      </c>
      <c r="H249">
        <v>3.5820436784305104E-2</v>
      </c>
    </row>
    <row r="250" spans="1:8" x14ac:dyDescent="0.25">
      <c r="A250" s="27">
        <v>44104</v>
      </c>
      <c r="B250">
        <v>-2.9938453482283398E-2</v>
      </c>
      <c r="C250">
        <v>-5.9348821761947904E-3</v>
      </c>
      <c r="D250">
        <v>2.4434137916463801E-3</v>
      </c>
      <c r="E250">
        <v>1.2525559438630199E-3</v>
      </c>
      <c r="F250">
        <v>6.2178555376080505E-3</v>
      </c>
      <c r="G250">
        <v>-7.5172690728743993E-3</v>
      </c>
      <c r="H250">
        <v>-1.00726609721955E-2</v>
      </c>
    </row>
    <row r="251" spans="1:8" x14ac:dyDescent="0.25">
      <c r="A251" s="27">
        <v>44135</v>
      </c>
      <c r="B251">
        <v>-2.5853835563135901E-2</v>
      </c>
      <c r="C251">
        <v>4.3768413604003695E-3</v>
      </c>
      <c r="D251">
        <v>1.6901763216047E-3</v>
      </c>
      <c r="E251">
        <v>-3.0085401761007504E-3</v>
      </c>
      <c r="F251">
        <v>4.9037379463016404E-3</v>
      </c>
      <c r="G251">
        <v>4.2816011038326E-3</v>
      </c>
      <c r="H251">
        <v>7.8223573429831508E-3</v>
      </c>
    </row>
    <row r="252" spans="1:8" x14ac:dyDescent="0.25">
      <c r="A252" s="27">
        <v>44165</v>
      </c>
      <c r="B252">
        <v>8.5023230879198192E-2</v>
      </c>
      <c r="C252">
        <v>6.3226756292308894E-2</v>
      </c>
      <c r="D252">
        <v>2.2579213307645597E-2</v>
      </c>
      <c r="E252">
        <v>4.7741667608614605E-2</v>
      </c>
      <c r="F252">
        <v>2.4268337476592402E-2</v>
      </c>
      <c r="G252">
        <v>6.03221803751329E-2</v>
      </c>
      <c r="H252">
        <v>9.0901157152164999E-2</v>
      </c>
    </row>
    <row r="253" spans="1:8" x14ac:dyDescent="0.25">
      <c r="A253" s="27">
        <v>44196</v>
      </c>
      <c r="B253">
        <v>4.6388700748940102E-2</v>
      </c>
      <c r="C253">
        <v>3.9254410621564297E-2</v>
      </c>
      <c r="D253">
        <v>3.0813073587633501E-2</v>
      </c>
      <c r="E253">
        <v>2.7128710833092401E-2</v>
      </c>
      <c r="F253">
        <v>2.4482025370369902E-2</v>
      </c>
      <c r="G253">
        <v>3.7706658253279401E-2</v>
      </c>
      <c r="H253">
        <v>4.9457843649794705E-2</v>
      </c>
    </row>
    <row r="254" spans="1:8" x14ac:dyDescent="0.25">
      <c r="A254" s="27">
        <v>44227</v>
      </c>
      <c r="B254">
        <v>3.76020023103599E-2</v>
      </c>
      <c r="C254">
        <v>1.2376144467308099E-2</v>
      </c>
      <c r="D254">
        <v>1.2560188452596498E-2</v>
      </c>
      <c r="E254">
        <v>9.1581379391988803E-3</v>
      </c>
      <c r="F254">
        <v>1.5819257499985698E-2</v>
      </c>
      <c r="G254">
        <v>9.6856509462303689E-3</v>
      </c>
      <c r="H254">
        <v>1.4226848424298799E-2</v>
      </c>
    </row>
    <row r="255" spans="1:8" x14ac:dyDescent="0.25">
      <c r="A255" s="27">
        <v>44255</v>
      </c>
      <c r="B255">
        <v>2.5966853325473702E-2</v>
      </c>
      <c r="C255">
        <v>3.7990618996554801E-2</v>
      </c>
      <c r="D255">
        <v>1.67903444082174E-2</v>
      </c>
      <c r="E255">
        <v>3.5952406409253498E-2</v>
      </c>
      <c r="F255">
        <v>1.3269106608695701E-2</v>
      </c>
      <c r="G255">
        <v>3.6696671427477595E-2</v>
      </c>
      <c r="H255">
        <v>5.2964423889061703E-2</v>
      </c>
    </row>
    <row r="256" spans="1:8" x14ac:dyDescent="0.25">
      <c r="A256" s="27">
        <v>44286</v>
      </c>
      <c r="B256">
        <v>3.8242311770944101E-2</v>
      </c>
      <c r="C256">
        <v>1.23688988176842E-2</v>
      </c>
      <c r="D256">
        <v>-2.7846717522543602E-3</v>
      </c>
      <c r="E256">
        <v>1.2980350054335701E-2</v>
      </c>
      <c r="F256">
        <v>6.5913808928154405E-3</v>
      </c>
      <c r="G256">
        <v>1.7070355967720701E-2</v>
      </c>
      <c r="H256">
        <v>1.41106704504595E-2</v>
      </c>
    </row>
    <row r="257" spans="1:8" x14ac:dyDescent="0.25">
      <c r="A257" s="27">
        <v>44316</v>
      </c>
      <c r="B257">
        <v>4.50047877433771E-2</v>
      </c>
      <c r="C257">
        <v>2.6855275522424501E-2</v>
      </c>
      <c r="D257">
        <v>7.8910638315615907E-3</v>
      </c>
      <c r="E257">
        <v>2.93339864397947E-2</v>
      </c>
      <c r="F257">
        <v>1.0336296248976999E-2</v>
      </c>
      <c r="G257">
        <v>2.75490475336733E-2</v>
      </c>
      <c r="H257">
        <v>3.74801856610711E-2</v>
      </c>
    </row>
    <row r="258" spans="1:8" x14ac:dyDescent="0.25">
      <c r="A258" s="27">
        <v>44347</v>
      </c>
      <c r="B258">
        <v>8.1857055589492893E-3</v>
      </c>
      <c r="C258">
        <v>8.2742279361767302E-3</v>
      </c>
      <c r="D258">
        <v>4.7516081286719301E-4</v>
      </c>
      <c r="E258">
        <v>6.3338811341333897E-3</v>
      </c>
      <c r="F258">
        <v>8.9780326328711205E-3</v>
      </c>
      <c r="G258">
        <v>6.0230417188477407E-3</v>
      </c>
      <c r="H258">
        <v>9.9739844059340606E-3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42"/>
  <sheetViews>
    <sheetView tabSelected="1" workbookViewId="0">
      <selection activeCell="A14" sqref="A14"/>
    </sheetView>
  </sheetViews>
  <sheetFormatPr defaultRowHeight="13.8" x14ac:dyDescent="0.25"/>
  <cols>
    <col min="1" max="1" width="11.5546875" bestFit="1" customWidth="1"/>
    <col min="13" max="13" width="9.44140625" bestFit="1" customWidth="1"/>
    <col min="14" max="14" width="22.5546875" bestFit="1" customWidth="1"/>
  </cols>
  <sheetData>
    <row r="1" spans="1:14" x14ac:dyDescent="0.25">
      <c r="A1" s="4" t="s">
        <v>8</v>
      </c>
    </row>
    <row r="2" spans="1:14" x14ac:dyDescent="0.25">
      <c r="A2" s="4"/>
      <c r="B2" s="4" t="s">
        <v>9</v>
      </c>
    </row>
    <row r="3" spans="1:14" x14ac:dyDescent="0.25">
      <c r="A3" s="4"/>
      <c r="J3" s="11" t="s">
        <v>10</v>
      </c>
      <c r="M3" s="20">
        <f>AVERAGE(Errors)</f>
        <v>1.3112870333333321E-3</v>
      </c>
    </row>
    <row r="4" spans="1:14" x14ac:dyDescent="0.25">
      <c r="A4" s="4"/>
      <c r="B4" s="14" t="s">
        <v>11</v>
      </c>
      <c r="D4" s="15" t="s">
        <v>27</v>
      </c>
      <c r="J4" s="13" t="s">
        <v>13</v>
      </c>
      <c r="M4" s="20">
        <f>VAR(Errors)</f>
        <v>6.6464027583521424E-4</v>
      </c>
    </row>
    <row r="5" spans="1:14" x14ac:dyDescent="0.25">
      <c r="A5" s="4"/>
      <c r="B5" s="14" t="s">
        <v>12</v>
      </c>
      <c r="D5" s="15" t="s">
        <v>22</v>
      </c>
      <c r="J5" s="11" t="s">
        <v>31</v>
      </c>
      <c r="M5" s="20">
        <f xml:space="preserve"> M4*10000</f>
        <v>6.6464027583521421</v>
      </c>
      <c r="N5" s="15" t="s">
        <v>27</v>
      </c>
    </row>
    <row r="6" spans="1:14" x14ac:dyDescent="0.25">
      <c r="A6" s="4"/>
      <c r="B6" s="14" t="s">
        <v>14</v>
      </c>
      <c r="D6" s="15" t="s">
        <v>25</v>
      </c>
      <c r="J6" s="12" t="s">
        <v>15</v>
      </c>
      <c r="M6" s="21">
        <f>SQRT(M4)</f>
        <v>2.5780618220578307E-2</v>
      </c>
    </row>
    <row r="7" spans="1:14" x14ac:dyDescent="0.25">
      <c r="A7" s="4"/>
      <c r="D7" s="15" t="s">
        <v>26</v>
      </c>
      <c r="J7" t="s">
        <v>32</v>
      </c>
      <c r="M7">
        <f>SUM(StyleWeights)</f>
        <v>1</v>
      </c>
    </row>
    <row r="8" spans="1:14" x14ac:dyDescent="0.25">
      <c r="A8" s="4"/>
      <c r="K8" s="5"/>
      <c r="L8" s="6"/>
    </row>
    <row r="9" spans="1:14" x14ac:dyDescent="0.25">
      <c r="A9" s="4"/>
      <c r="I9" s="5"/>
      <c r="L9" s="7"/>
    </row>
    <row r="10" spans="1:14" x14ac:dyDescent="0.25">
      <c r="A10" s="4"/>
    </row>
    <row r="11" spans="1:14" x14ac:dyDescent="0.25">
      <c r="A11" s="4"/>
      <c r="B11" s="4" t="s">
        <v>16</v>
      </c>
    </row>
    <row r="12" spans="1:14" x14ac:dyDescent="0.25">
      <c r="A12" s="4"/>
      <c r="C12" s="3" t="s">
        <v>2</v>
      </c>
      <c r="D12" s="3" t="s">
        <v>3</v>
      </c>
      <c r="E12" s="3" t="s">
        <v>4</v>
      </c>
      <c r="F12" s="3" t="s">
        <v>5</v>
      </c>
      <c r="G12" s="3" t="s">
        <v>6</v>
      </c>
      <c r="H12" s="3" t="s">
        <v>7</v>
      </c>
      <c r="I12" s="8"/>
      <c r="J12" s="8"/>
    </row>
    <row r="13" spans="1:14" x14ac:dyDescent="0.25">
      <c r="A13" s="4"/>
      <c r="B13" s="9" t="s">
        <v>17</v>
      </c>
      <c r="C13" s="17">
        <v>0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9" t="s">
        <v>23</v>
      </c>
      <c r="J13" s="7"/>
    </row>
    <row r="14" spans="1:14" x14ac:dyDescent="0.25">
      <c r="A14" s="4"/>
      <c r="B14" s="9" t="s">
        <v>18</v>
      </c>
      <c r="C14" s="16">
        <v>0</v>
      </c>
      <c r="D14" s="22">
        <v>0</v>
      </c>
      <c r="E14" s="22">
        <v>0.1</v>
      </c>
      <c r="F14" s="22">
        <v>0</v>
      </c>
      <c r="G14" s="22">
        <v>0.9</v>
      </c>
      <c r="H14" s="22">
        <v>0</v>
      </c>
      <c r="I14" s="15" t="s">
        <v>28</v>
      </c>
      <c r="J14" s="7"/>
    </row>
    <row r="15" spans="1:14" x14ac:dyDescent="0.25">
      <c r="A15" s="4"/>
      <c r="B15" s="9" t="s">
        <v>19</v>
      </c>
      <c r="C15" s="17">
        <v>1</v>
      </c>
      <c r="D15" s="17">
        <v>1</v>
      </c>
      <c r="E15" s="17">
        <v>1</v>
      </c>
      <c r="F15" s="17">
        <v>1</v>
      </c>
      <c r="G15" s="17">
        <v>1</v>
      </c>
      <c r="H15" s="17">
        <v>1</v>
      </c>
      <c r="I15" s="18" t="s">
        <v>24</v>
      </c>
      <c r="J15" s="7"/>
    </row>
    <row r="16" spans="1:14" x14ac:dyDescent="0.25">
      <c r="A16" s="4"/>
      <c r="B16" s="9"/>
      <c r="I16" s="18"/>
      <c r="J16" s="7"/>
    </row>
    <row r="17" spans="1:22" x14ac:dyDescent="0.25">
      <c r="J17" s="25" t="s">
        <v>30</v>
      </c>
      <c r="M17" s="4" t="s">
        <v>29</v>
      </c>
    </row>
    <row r="18" spans="1:22" x14ac:dyDescent="0.25">
      <c r="A18" s="3" t="s">
        <v>0</v>
      </c>
      <c r="B18" s="10" t="s">
        <v>1</v>
      </c>
      <c r="C18" s="3" t="s">
        <v>2</v>
      </c>
      <c r="D18" s="3" t="s">
        <v>3</v>
      </c>
      <c r="E18" s="3" t="s">
        <v>4</v>
      </c>
      <c r="F18" s="3" t="s">
        <v>5</v>
      </c>
      <c r="G18" s="3" t="s">
        <v>6</v>
      </c>
      <c r="H18" s="3" t="s">
        <v>7</v>
      </c>
      <c r="I18" s="3" t="s">
        <v>20</v>
      </c>
      <c r="J18" s="3" t="s">
        <v>21</v>
      </c>
      <c r="M18" s="3" t="s">
        <v>0</v>
      </c>
      <c r="N18" s="10" t="s">
        <v>1</v>
      </c>
      <c r="O18" s="3" t="s">
        <v>2</v>
      </c>
      <c r="P18" s="3" t="s">
        <v>3</v>
      </c>
      <c r="Q18" s="3" t="s">
        <v>4</v>
      </c>
      <c r="R18" s="3" t="s">
        <v>5</v>
      </c>
      <c r="S18" s="3" t="s">
        <v>6</v>
      </c>
      <c r="T18" s="3" t="s">
        <v>7</v>
      </c>
      <c r="U18" s="3" t="s">
        <v>20</v>
      </c>
      <c r="V18" s="3" t="s">
        <v>21</v>
      </c>
    </row>
    <row r="19" spans="1:22" x14ac:dyDescent="0.25">
      <c r="A19" s="1">
        <v>36556</v>
      </c>
      <c r="B19" s="26">
        <v>9.6749999999999996E-3</v>
      </c>
      <c r="C19" s="2">
        <v>9.7798369999999996E-3</v>
      </c>
      <c r="D19" s="2">
        <v>1.4363545E-2</v>
      </c>
      <c r="E19" s="2">
        <v>-2.8383256999999999E-2</v>
      </c>
      <c r="F19" s="2">
        <v>-4.0950780000000003E-3</v>
      </c>
      <c r="G19" s="2">
        <v>1.270174E-2</v>
      </c>
      <c r="H19" s="2">
        <v>9.4250849999999997E-3</v>
      </c>
      <c r="I19" s="23">
        <f t="shared" ref="I19:I42" si="0">SUMPRODUCT(StyleWeights,C19:H19)</f>
        <v>8.5932403000000008E-3</v>
      </c>
      <c r="J19" s="24">
        <f>B19-I19</f>
        <v>1.0817596999999988E-3</v>
      </c>
      <c r="M19" s="1">
        <v>37287</v>
      </c>
      <c r="N19" s="2">
        <v>1.4816667E-2</v>
      </c>
      <c r="O19" s="2">
        <v>4.0108330000000001E-3</v>
      </c>
      <c r="P19" s="2">
        <v>1.2410964E-2</v>
      </c>
      <c r="Q19" s="2">
        <v>-2.9687960000000001E-3</v>
      </c>
      <c r="R19" s="2">
        <v>1.2611944999999999E-2</v>
      </c>
      <c r="S19" s="2">
        <v>7.8259620000000005E-3</v>
      </c>
      <c r="T19" s="2">
        <v>9.2357599999999995E-4</v>
      </c>
      <c r="U19" s="23">
        <f>SUMPRODUCT(StyleWeights,O19:T19)</f>
        <v>6.7464862000000004E-3</v>
      </c>
      <c r="V19" s="24">
        <f>N19-U19</f>
        <v>8.0701808E-3</v>
      </c>
    </row>
    <row r="20" spans="1:22" x14ac:dyDescent="0.25">
      <c r="A20" s="1">
        <v>36585</v>
      </c>
      <c r="B20" s="26">
        <v>4.9525E-2</v>
      </c>
      <c r="C20" s="2">
        <v>6.8656683999999996E-2</v>
      </c>
      <c r="D20" s="2">
        <v>2.4367933000000001E-2</v>
      </c>
      <c r="E20" s="2">
        <v>2.2559302E-2</v>
      </c>
      <c r="F20" s="2">
        <v>2.0199577E-2</v>
      </c>
      <c r="G20" s="2">
        <v>4.2556451000000002E-2</v>
      </c>
      <c r="H20" s="2">
        <v>0.104027649</v>
      </c>
      <c r="I20" s="23">
        <f t="shared" si="0"/>
        <v>4.0556736100000004E-2</v>
      </c>
      <c r="J20" s="24">
        <f t="shared" ref="J20:J42" si="1">B20-I20</f>
        <v>8.9682638999999953E-3</v>
      </c>
    </row>
    <row r="21" spans="1:22" x14ac:dyDescent="0.25">
      <c r="A21" s="1">
        <v>36616</v>
      </c>
      <c r="B21" s="26">
        <v>9.2700000000000005E-2</v>
      </c>
      <c r="C21" s="2">
        <v>1.6337000000000001E-2</v>
      </c>
      <c r="D21" s="2">
        <v>1.4035084E-2</v>
      </c>
      <c r="E21" s="2">
        <v>1.6240702999999999E-2</v>
      </c>
      <c r="F21" s="2">
        <v>-5.2010279999999999E-3</v>
      </c>
      <c r="G21" s="2">
        <v>2.5532644E-2</v>
      </c>
      <c r="H21" s="2">
        <v>2.3776456000000001E-2</v>
      </c>
      <c r="I21" s="23">
        <f t="shared" si="0"/>
        <v>2.4603449900000001E-2</v>
      </c>
      <c r="J21" s="24">
        <f t="shared" si="1"/>
        <v>6.80965501E-2</v>
      </c>
    </row>
    <row r="22" spans="1:22" x14ac:dyDescent="0.25">
      <c r="A22" s="1">
        <v>36646</v>
      </c>
      <c r="B22" s="26">
        <v>-1.4225E-2</v>
      </c>
      <c r="C22" s="2">
        <v>-1.1409073E-2</v>
      </c>
      <c r="D22" s="2">
        <v>9.3227229999999998E-3</v>
      </c>
      <c r="E22" s="2">
        <v>-2.897682E-2</v>
      </c>
      <c r="F22" s="2">
        <v>-1.2447870999999999E-2</v>
      </c>
      <c r="G22" s="2">
        <v>-3.2555499999999999E-3</v>
      </c>
      <c r="H22" s="2">
        <v>-1.5237107E-2</v>
      </c>
      <c r="I22" s="23">
        <f t="shared" si="0"/>
        <v>-5.8276769999999999E-3</v>
      </c>
      <c r="J22" s="24">
        <f t="shared" si="1"/>
        <v>-8.3973229999999999E-3</v>
      </c>
    </row>
    <row r="23" spans="1:22" x14ac:dyDescent="0.25">
      <c r="A23" s="1">
        <v>36677</v>
      </c>
      <c r="B23" s="26">
        <v>5.0075000000000001E-2</v>
      </c>
      <c r="C23" s="2">
        <v>-5.3430000000000003E-4</v>
      </c>
      <c r="D23" s="2">
        <v>1.0894869999999999E-2</v>
      </c>
      <c r="E23" s="2">
        <v>-1.8284305000000001E-2</v>
      </c>
      <c r="F23" s="2">
        <v>-1.0663633E-2</v>
      </c>
      <c r="G23" s="2">
        <v>3.8283620000000001E-3</v>
      </c>
      <c r="H23" s="2">
        <v>-4.0162899999999996E-3</v>
      </c>
      <c r="I23" s="23">
        <f t="shared" si="0"/>
        <v>1.6170953000000001E-3</v>
      </c>
      <c r="J23" s="24">
        <f t="shared" si="1"/>
        <v>4.8457904699999998E-2</v>
      </c>
    </row>
    <row r="24" spans="1:22" x14ac:dyDescent="0.25">
      <c r="A24" s="1">
        <v>36707</v>
      </c>
      <c r="B24" s="26">
        <v>1.1174999999999999E-2</v>
      </c>
      <c r="C24" s="2">
        <v>3.3773180999999999E-2</v>
      </c>
      <c r="D24" s="2">
        <v>1.9676668000000001E-2</v>
      </c>
      <c r="E24" s="2">
        <v>2.4190856E-2</v>
      </c>
      <c r="F24" s="2">
        <v>1.4324299E-2</v>
      </c>
      <c r="G24" s="2">
        <v>2.3561783999999999E-2</v>
      </c>
      <c r="H24" s="2">
        <v>4.6330318000000002E-2</v>
      </c>
      <c r="I24" s="23">
        <f t="shared" si="0"/>
        <v>2.3624691199999999E-2</v>
      </c>
      <c r="J24" s="24">
        <f t="shared" si="1"/>
        <v>-1.24496912E-2</v>
      </c>
    </row>
    <row r="25" spans="1:22" x14ac:dyDescent="0.25">
      <c r="A25" s="1">
        <v>36738</v>
      </c>
      <c r="B25" s="26">
        <v>-8.3000000000000001E-3</v>
      </c>
      <c r="C25" s="2">
        <v>1.935902E-3</v>
      </c>
      <c r="D25" s="2">
        <v>7.6622139999999997E-3</v>
      </c>
      <c r="E25" s="2">
        <v>-7.0930120000000001E-3</v>
      </c>
      <c r="F25" s="2">
        <v>5.1150290000000001E-3</v>
      </c>
      <c r="G25" s="2">
        <v>6.9831720000000002E-3</v>
      </c>
      <c r="H25" s="2">
        <v>2.4328420000000002E-3</v>
      </c>
      <c r="I25" s="23">
        <f t="shared" si="0"/>
        <v>5.5755536000000007E-3</v>
      </c>
      <c r="J25" s="24">
        <f t="shared" si="1"/>
        <v>-1.38755536E-2</v>
      </c>
    </row>
    <row r="26" spans="1:22" x14ac:dyDescent="0.25">
      <c r="A26" s="1">
        <v>36769</v>
      </c>
      <c r="B26" s="26">
        <v>4.0620000000000003E-2</v>
      </c>
      <c r="C26" s="2">
        <v>4.5852563999999998E-2</v>
      </c>
      <c r="D26" s="2">
        <v>1.7715793000000001E-2</v>
      </c>
      <c r="E26" s="2">
        <v>3.8693600000000002E-2</v>
      </c>
      <c r="F26" s="2">
        <v>2.1486161E-2</v>
      </c>
      <c r="G26" s="2">
        <v>4.7211492000000001E-2</v>
      </c>
      <c r="H26" s="2">
        <v>5.7761914999999997E-2</v>
      </c>
      <c r="I26" s="23">
        <f t="shared" si="0"/>
        <v>4.6359702800000006E-2</v>
      </c>
      <c r="J26" s="24">
        <f t="shared" si="1"/>
        <v>-5.739702800000003E-3</v>
      </c>
    </row>
    <row r="27" spans="1:22" x14ac:dyDescent="0.25">
      <c r="A27" s="1">
        <v>36799</v>
      </c>
      <c r="B27" s="26">
        <v>1.0880000000000001E-2</v>
      </c>
      <c r="C27" s="2">
        <v>5.9374329999999998E-3</v>
      </c>
      <c r="D27" s="2">
        <v>1.2098809E-2</v>
      </c>
      <c r="E27" s="2">
        <v>-1.8299350999999998E-2</v>
      </c>
      <c r="F27" s="2">
        <v>1.2422055E-2</v>
      </c>
      <c r="G27" s="2">
        <v>9.9559720000000004E-3</v>
      </c>
      <c r="H27" s="2">
        <v>6.583813E-3</v>
      </c>
      <c r="I27" s="23">
        <f t="shared" si="0"/>
        <v>7.1304397000000004E-3</v>
      </c>
      <c r="J27" s="24">
        <f t="shared" si="1"/>
        <v>3.7495603000000004E-3</v>
      </c>
    </row>
    <row r="28" spans="1:22" x14ac:dyDescent="0.25">
      <c r="A28" s="1">
        <v>36830</v>
      </c>
      <c r="B28" s="26">
        <v>5.8799999999999998E-3</v>
      </c>
      <c r="C28" s="2">
        <v>-2.453125E-3</v>
      </c>
      <c r="D28" s="2">
        <v>3.3487299999999998E-3</v>
      </c>
      <c r="E28" s="2">
        <v>2.4060299999999999E-4</v>
      </c>
      <c r="F28" s="2">
        <v>3.4191489999999998E-3</v>
      </c>
      <c r="G28" s="2">
        <v>7.3150890000000003E-3</v>
      </c>
      <c r="H28" s="2">
        <v>-6.3353089999999999E-3</v>
      </c>
      <c r="I28" s="23">
        <f t="shared" si="0"/>
        <v>6.6076404000000007E-3</v>
      </c>
      <c r="J28" s="24">
        <f t="shared" si="1"/>
        <v>-7.2764040000000089E-4</v>
      </c>
    </row>
    <row r="29" spans="1:22" x14ac:dyDescent="0.25">
      <c r="A29" s="1">
        <v>36860</v>
      </c>
      <c r="B29" s="26">
        <v>2.3099999999999999E-2</v>
      </c>
      <c r="C29" s="2">
        <v>-1.5110382E-2</v>
      </c>
      <c r="D29" s="2">
        <v>-2.5889609999999999E-3</v>
      </c>
      <c r="E29" s="2">
        <v>4.4730539999999997E-3</v>
      </c>
      <c r="F29" s="2">
        <v>-9.7320299999999996E-4</v>
      </c>
      <c r="G29" s="2">
        <v>3.0231759999999998E-3</v>
      </c>
      <c r="H29" s="2">
        <v>-3.0163688000000001E-2</v>
      </c>
      <c r="I29" s="23">
        <f t="shared" si="0"/>
        <v>3.1681637999999997E-3</v>
      </c>
      <c r="J29" s="24">
        <f t="shared" si="1"/>
        <v>1.9931836200000001E-2</v>
      </c>
    </row>
    <row r="30" spans="1:22" x14ac:dyDescent="0.25">
      <c r="A30" s="1">
        <v>36891</v>
      </c>
      <c r="B30" s="26">
        <v>3.7319999999999999E-2</v>
      </c>
      <c r="C30" s="2">
        <v>3.5494865E-2</v>
      </c>
      <c r="D30" s="2">
        <v>6.5741510000000003E-3</v>
      </c>
      <c r="E30" s="2">
        <v>2.6094145999999999E-2</v>
      </c>
      <c r="F30" s="2">
        <v>3.0588502E-2</v>
      </c>
      <c r="G30" s="2">
        <v>4.4080554000000001E-2</v>
      </c>
      <c r="H30" s="2">
        <v>3.7826285000000001E-2</v>
      </c>
      <c r="I30" s="23">
        <f t="shared" si="0"/>
        <v>4.22819132E-2</v>
      </c>
      <c r="J30" s="24">
        <f t="shared" si="1"/>
        <v>-4.961913200000001E-3</v>
      </c>
    </row>
    <row r="31" spans="1:22" x14ac:dyDescent="0.25">
      <c r="A31" s="1">
        <v>36922</v>
      </c>
      <c r="B31" s="26">
        <v>2.5799999999999998E-3</v>
      </c>
      <c r="C31" s="2">
        <v>3.3941129E-2</v>
      </c>
      <c r="D31" s="2">
        <v>2.5723836999999999E-2</v>
      </c>
      <c r="E31" s="2">
        <v>2.1027961000000001E-2</v>
      </c>
      <c r="F31" s="2">
        <v>5.3591735000000001E-2</v>
      </c>
      <c r="G31" s="2">
        <v>2.7567161999999999E-2</v>
      </c>
      <c r="H31" s="2">
        <v>3.4857754999999997E-2</v>
      </c>
      <c r="I31" s="23">
        <f t="shared" si="0"/>
        <v>2.6913241900000003E-2</v>
      </c>
      <c r="J31" s="24">
        <f t="shared" si="1"/>
        <v>-2.4333241900000004E-2</v>
      </c>
    </row>
    <row r="32" spans="1:22" x14ac:dyDescent="0.25">
      <c r="A32" s="1">
        <v>36950</v>
      </c>
      <c r="B32" s="26">
        <v>2.2419999999999999E-2</v>
      </c>
      <c r="C32" s="2">
        <v>-6.6544680000000002E-3</v>
      </c>
      <c r="D32" s="2">
        <v>6.3167340000000001E-3</v>
      </c>
      <c r="E32" s="2">
        <v>8.2108089999999995E-3</v>
      </c>
      <c r="F32" s="2">
        <v>1.2275495000000001E-2</v>
      </c>
      <c r="G32" s="2">
        <v>6.615587E-3</v>
      </c>
      <c r="H32" s="2">
        <v>-1.7046321999999999E-2</v>
      </c>
      <c r="I32" s="23">
        <f t="shared" si="0"/>
        <v>6.7751091999999997E-3</v>
      </c>
      <c r="J32" s="24">
        <f t="shared" si="1"/>
        <v>1.5644890799999998E-2</v>
      </c>
    </row>
    <row r="33" spans="1:10" x14ac:dyDescent="0.25">
      <c r="A33" s="1">
        <v>36981</v>
      </c>
      <c r="B33" s="26">
        <v>6.94E-3</v>
      </c>
      <c r="C33" s="2">
        <v>-2.7804510000000002E-3</v>
      </c>
      <c r="D33" s="2">
        <v>4.1930559999999997E-3</v>
      </c>
      <c r="E33" s="2">
        <v>1.0340630999999999E-2</v>
      </c>
      <c r="F33" s="2">
        <v>9.595737E-3</v>
      </c>
      <c r="G33" s="2">
        <v>9.1444360000000006E-3</v>
      </c>
      <c r="H33" s="2">
        <v>-1.2513599E-2</v>
      </c>
      <c r="I33" s="23">
        <f t="shared" si="0"/>
        <v>9.2640554999999999E-3</v>
      </c>
      <c r="J33" s="24">
        <f t="shared" si="1"/>
        <v>-2.3240555E-3</v>
      </c>
    </row>
    <row r="34" spans="1:10" x14ac:dyDescent="0.25">
      <c r="A34" s="1">
        <v>37011</v>
      </c>
      <c r="B34" s="26">
        <v>-8.9599999999999992E-3</v>
      </c>
      <c r="C34" s="2">
        <v>2.0594398E-2</v>
      </c>
      <c r="D34" s="2">
        <v>1.5175009999999999E-2</v>
      </c>
      <c r="E34" s="2">
        <v>-4.2972600000000001E-4</v>
      </c>
      <c r="F34" s="2">
        <v>1.8580823E-2</v>
      </c>
      <c r="G34" s="2">
        <v>1.2619741E-2</v>
      </c>
      <c r="H34" s="2">
        <v>3.1805476999999999E-2</v>
      </c>
      <c r="I34" s="23">
        <f t="shared" si="0"/>
        <v>1.13147943E-2</v>
      </c>
      <c r="J34" s="24">
        <f t="shared" si="1"/>
        <v>-2.0274794299999999E-2</v>
      </c>
    </row>
    <row r="35" spans="1:10" x14ac:dyDescent="0.25">
      <c r="A35" s="1">
        <v>37042</v>
      </c>
      <c r="B35" s="26">
        <v>1.83E-2</v>
      </c>
      <c r="C35" s="2">
        <v>2.0188497E-2</v>
      </c>
      <c r="D35" s="2">
        <v>1.4963875E-2</v>
      </c>
      <c r="E35" s="2">
        <v>2.357769E-3</v>
      </c>
      <c r="F35" s="2">
        <v>1.7719571E-2</v>
      </c>
      <c r="G35" s="2">
        <v>2.3909308000000001E-2</v>
      </c>
      <c r="H35" s="2">
        <v>2.1386769E-2</v>
      </c>
      <c r="I35" s="23">
        <f t="shared" si="0"/>
        <v>2.1754154100000003E-2</v>
      </c>
      <c r="J35" s="24">
        <f t="shared" si="1"/>
        <v>-3.4541541000000023E-3</v>
      </c>
    </row>
    <row r="36" spans="1:10" x14ac:dyDescent="0.25">
      <c r="A36" s="1">
        <v>37072</v>
      </c>
      <c r="B36" s="26">
        <v>-1.8780000000000002E-2</v>
      </c>
      <c r="C36" s="2">
        <v>6.6561830000000004E-3</v>
      </c>
      <c r="D36" s="2">
        <v>5.6035080000000001E-3</v>
      </c>
      <c r="E36" s="2">
        <v>-2.1580129999999999E-3</v>
      </c>
      <c r="F36" s="2">
        <v>8.7696779999999995E-3</v>
      </c>
      <c r="G36" s="2">
        <v>1.3726133999999999E-2</v>
      </c>
      <c r="H36" s="2">
        <v>5.4248949999999999E-3</v>
      </c>
      <c r="I36" s="23">
        <f t="shared" si="0"/>
        <v>1.2137719299999999E-2</v>
      </c>
      <c r="J36" s="24">
        <f t="shared" si="1"/>
        <v>-3.09177193E-2</v>
      </c>
    </row>
    <row r="37" spans="1:10" x14ac:dyDescent="0.25">
      <c r="A37" s="1">
        <v>37103</v>
      </c>
      <c r="B37" s="26">
        <v>-1.6639999999999999E-2</v>
      </c>
      <c r="C37" s="2">
        <v>-1.7329310000000001E-3</v>
      </c>
      <c r="D37" s="2">
        <v>9.6120560000000008E-3</v>
      </c>
      <c r="E37" s="2">
        <v>-8.6170139999999992E-3</v>
      </c>
      <c r="F37" s="2">
        <v>1.5696234999999999E-2</v>
      </c>
      <c r="G37" s="2">
        <v>1.9467690000000001E-3</v>
      </c>
      <c r="H37" s="2">
        <v>-5.7960210000000002E-3</v>
      </c>
      <c r="I37" s="23">
        <f t="shared" si="0"/>
        <v>8.9039070000000004E-4</v>
      </c>
      <c r="J37" s="24">
        <f t="shared" si="1"/>
        <v>-1.7530390699999999E-2</v>
      </c>
    </row>
    <row r="38" spans="1:10" x14ac:dyDescent="0.25">
      <c r="A38" s="1">
        <v>37134</v>
      </c>
      <c r="B38" s="26">
        <v>1.04E-2</v>
      </c>
      <c r="C38" s="2">
        <v>2.9432500000000001E-4</v>
      </c>
      <c r="D38" s="2">
        <v>9.0385589999999998E-3</v>
      </c>
      <c r="E38" s="2">
        <v>-1.1612311E-2</v>
      </c>
      <c r="F38" s="2">
        <v>1.8466338999999998E-2</v>
      </c>
      <c r="G38" s="2">
        <v>1.0490453E-2</v>
      </c>
      <c r="H38" s="2">
        <v>-7.4810400000000004E-3</v>
      </c>
      <c r="I38" s="23">
        <f t="shared" si="0"/>
        <v>8.2801766000000013E-3</v>
      </c>
      <c r="J38" s="24">
        <f t="shared" si="1"/>
        <v>2.1198233999999982E-3</v>
      </c>
    </row>
    <row r="39" spans="1:10" x14ac:dyDescent="0.25">
      <c r="A39" s="1">
        <v>37164</v>
      </c>
      <c r="B39" s="26">
        <v>5.8380000000000001E-2</v>
      </c>
      <c r="C39" s="2">
        <v>-1.9977828999999999E-2</v>
      </c>
      <c r="D39" s="2">
        <v>-9.3664170000000001E-3</v>
      </c>
      <c r="E39" s="2">
        <v>-8.5291780000000001E-3</v>
      </c>
      <c r="F39" s="2">
        <v>4.4921839999999998E-3</v>
      </c>
      <c r="G39" s="2">
        <v>-1.908903E-3</v>
      </c>
      <c r="H39" s="2">
        <v>-3.3613213000000003E-2</v>
      </c>
      <c r="I39" s="23">
        <f t="shared" si="0"/>
        <v>-2.5709305000000001E-3</v>
      </c>
      <c r="J39" s="24">
        <f t="shared" si="1"/>
        <v>6.09509305E-2</v>
      </c>
    </row>
    <row r="40" spans="1:10" x14ac:dyDescent="0.25">
      <c r="A40" s="1">
        <v>37195</v>
      </c>
      <c r="B40" s="26">
        <v>1.8000000000000001E-4</v>
      </c>
      <c r="C40" s="2">
        <v>2.0746506000000001E-2</v>
      </c>
      <c r="D40" s="2">
        <v>6.1863939999999996E-3</v>
      </c>
      <c r="E40" s="2">
        <v>2.7305067999999998E-2</v>
      </c>
      <c r="F40" s="2">
        <v>1.6444186E-2</v>
      </c>
      <c r="G40" s="2">
        <v>2.4059540000000001E-2</v>
      </c>
      <c r="H40" s="2">
        <v>2.2786150000000002E-2</v>
      </c>
      <c r="I40" s="23">
        <f t="shared" si="0"/>
        <v>2.4384092800000003E-2</v>
      </c>
      <c r="J40" s="24">
        <f t="shared" si="1"/>
        <v>-2.4204092800000004E-2</v>
      </c>
    </row>
    <row r="41" spans="1:10" x14ac:dyDescent="0.25">
      <c r="A41" s="1">
        <v>37225</v>
      </c>
      <c r="B41" s="26">
        <v>-1.5966667E-2</v>
      </c>
      <c r="C41" s="2">
        <v>1.5774143000000001E-2</v>
      </c>
      <c r="D41" s="2">
        <v>8.1434769999999997E-3</v>
      </c>
      <c r="E41" s="2">
        <v>-5.7074730000000002E-3</v>
      </c>
      <c r="F41" s="2">
        <v>2.4000385999999999E-2</v>
      </c>
      <c r="G41" s="2">
        <v>7.8739380000000005E-3</v>
      </c>
      <c r="H41" s="2">
        <v>2.6845876000000001E-2</v>
      </c>
      <c r="I41" s="23">
        <f t="shared" si="0"/>
        <v>6.5157969000000007E-3</v>
      </c>
      <c r="J41" s="24">
        <f t="shared" si="1"/>
        <v>-2.2482463899999999E-2</v>
      </c>
    </row>
    <row r="42" spans="1:10" x14ac:dyDescent="0.25">
      <c r="A42" s="1">
        <v>37256</v>
      </c>
      <c r="B42" s="26">
        <v>8.4333329999999995E-3</v>
      </c>
      <c r="C42" s="2">
        <v>1.7190554E-2</v>
      </c>
      <c r="D42" s="2">
        <v>6.3244750000000004E-3</v>
      </c>
      <c r="E42" s="2">
        <v>8.2274599999999996E-4</v>
      </c>
      <c r="F42" s="2">
        <v>1.9308623E-2</v>
      </c>
      <c r="G42" s="2">
        <v>1.5787724999999999E-2</v>
      </c>
      <c r="H42" s="2">
        <v>2.3692537E-2</v>
      </c>
      <c r="I42" s="23">
        <f t="shared" si="0"/>
        <v>1.42912271E-2</v>
      </c>
      <c r="J42" s="24">
        <f t="shared" si="1"/>
        <v>-5.8578941000000002E-3</v>
      </c>
    </row>
  </sheetData>
  <phoneticPr fontId="9" type="noConversion"/>
  <pageMargins left="0.7" right="0.7" top="0.75" bottom="0.75" header="0.3" footer="0.3"/>
  <ignoredErrors>
    <ignoredError sqref="I19:I4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26B1A-1478-4B39-A09A-9F92928E3E3A}">
  <sheetPr codeName="Sheet2"/>
  <dimension ref="A1:V42"/>
  <sheetViews>
    <sheetView workbookViewId="0">
      <selection activeCell="F17" sqref="F17"/>
    </sheetView>
  </sheetViews>
  <sheetFormatPr defaultRowHeight="13.8" x14ac:dyDescent="0.25"/>
  <cols>
    <col min="1" max="1" width="13.33203125" bestFit="1" customWidth="1"/>
    <col min="9" max="9" width="9.109375" bestFit="1" customWidth="1"/>
    <col min="13" max="13" width="10.6640625" customWidth="1"/>
  </cols>
  <sheetData>
    <row r="1" spans="1:14" x14ac:dyDescent="0.25">
      <c r="A1" s="4" t="s">
        <v>8</v>
      </c>
    </row>
    <row r="2" spans="1:14" x14ac:dyDescent="0.25">
      <c r="A2" s="4"/>
      <c r="B2" s="4" t="s">
        <v>9</v>
      </c>
    </row>
    <row r="3" spans="1:14" x14ac:dyDescent="0.25">
      <c r="A3" s="4"/>
      <c r="J3" s="11" t="s">
        <v>10</v>
      </c>
      <c r="M3" s="20">
        <f>AVERAGE(Errors1)</f>
        <v>3.4244649667648373E-3</v>
      </c>
    </row>
    <row r="4" spans="1:14" x14ac:dyDescent="0.25">
      <c r="A4" s="4"/>
      <c r="B4" s="14" t="s">
        <v>11</v>
      </c>
      <c r="D4" s="15" t="s">
        <v>27</v>
      </c>
      <c r="J4" s="13" t="s">
        <v>13</v>
      </c>
      <c r="M4" s="20">
        <f>VAR(Errors1)</f>
        <v>7.5310954134071636E-4</v>
      </c>
    </row>
    <row r="5" spans="1:14" x14ac:dyDescent="0.25">
      <c r="A5" s="4"/>
      <c r="B5" s="14" t="s">
        <v>12</v>
      </c>
      <c r="D5" s="15" t="s">
        <v>22</v>
      </c>
      <c r="J5" s="11" t="s">
        <v>31</v>
      </c>
      <c r="M5" s="20">
        <f xml:space="preserve"> M4*10000</f>
        <v>7.5310954134071633</v>
      </c>
      <c r="N5" s="15" t="s">
        <v>27</v>
      </c>
    </row>
    <row r="6" spans="1:14" x14ac:dyDescent="0.25">
      <c r="A6" s="4"/>
      <c r="B6" s="14" t="s">
        <v>14</v>
      </c>
      <c r="D6" s="15" t="s">
        <v>25</v>
      </c>
      <c r="J6" s="12" t="s">
        <v>15</v>
      </c>
      <c r="M6" s="21">
        <f>SQRT(M4)</f>
        <v>2.7442841349625522E-2</v>
      </c>
    </row>
    <row r="7" spans="1:14" x14ac:dyDescent="0.25">
      <c r="A7" s="4"/>
      <c r="D7" s="15" t="s">
        <v>26</v>
      </c>
      <c r="J7" t="s">
        <v>32</v>
      </c>
      <c r="M7">
        <f>SUM(StyleWeights1)</f>
        <v>0.99999999999999989</v>
      </c>
      <c r="N7">
        <v>1</v>
      </c>
    </row>
    <row r="8" spans="1:14" x14ac:dyDescent="0.25">
      <c r="A8" s="4"/>
      <c r="K8" s="5"/>
      <c r="L8" s="6"/>
    </row>
    <row r="9" spans="1:14" x14ac:dyDescent="0.25">
      <c r="A9" s="4"/>
      <c r="I9" s="5"/>
      <c r="L9" s="7"/>
    </row>
    <row r="10" spans="1:14" x14ac:dyDescent="0.25">
      <c r="A10" s="4"/>
    </row>
    <row r="11" spans="1:14" x14ac:dyDescent="0.25">
      <c r="A11" s="4"/>
      <c r="B11" s="4" t="s">
        <v>16</v>
      </c>
    </row>
    <row r="12" spans="1:14" x14ac:dyDescent="0.25">
      <c r="A12" s="4"/>
      <c r="C12" s="3" t="s">
        <v>2</v>
      </c>
      <c r="D12" s="3" t="s">
        <v>3</v>
      </c>
      <c r="E12" s="3" t="s">
        <v>4</v>
      </c>
      <c r="F12" s="3" t="s">
        <v>5</v>
      </c>
      <c r="G12" s="3" t="s">
        <v>6</v>
      </c>
      <c r="H12" s="3" t="s">
        <v>7</v>
      </c>
      <c r="I12" s="8"/>
      <c r="J12" s="8"/>
    </row>
    <row r="13" spans="1:14" x14ac:dyDescent="0.25">
      <c r="A13" s="4"/>
      <c r="B13" s="9" t="s">
        <v>17</v>
      </c>
      <c r="C13" s="17">
        <v>0.1</v>
      </c>
      <c r="D13" s="17">
        <v>0.1</v>
      </c>
      <c r="E13" s="17">
        <v>0.1</v>
      </c>
      <c r="F13" s="17">
        <v>0.1</v>
      </c>
      <c r="G13" s="17">
        <v>0.1</v>
      </c>
      <c r="H13" s="17">
        <v>0.1</v>
      </c>
      <c r="I13" s="19" t="s">
        <v>33</v>
      </c>
      <c r="J13" s="7"/>
    </row>
    <row r="14" spans="1:14" x14ac:dyDescent="0.25">
      <c r="A14" s="4"/>
      <c r="B14" s="9" t="s">
        <v>18</v>
      </c>
      <c r="C14" s="16">
        <v>0.1</v>
      </c>
      <c r="D14" s="22">
        <v>0.1</v>
      </c>
      <c r="E14" s="22">
        <v>0.14941727946780997</v>
      </c>
      <c r="F14" s="22">
        <v>0.1</v>
      </c>
      <c r="G14" s="22">
        <v>0.45058272053219001</v>
      </c>
      <c r="H14" s="22">
        <v>0.1</v>
      </c>
      <c r="I14" s="15" t="s">
        <v>28</v>
      </c>
      <c r="J14" s="7"/>
    </row>
    <row r="15" spans="1:14" x14ac:dyDescent="0.25">
      <c r="A15" s="4"/>
      <c r="B15" s="9" t="s">
        <v>19</v>
      </c>
      <c r="C15" s="17">
        <v>0.9</v>
      </c>
      <c r="D15" s="17">
        <v>0.9</v>
      </c>
      <c r="E15" s="17">
        <v>0.9</v>
      </c>
      <c r="F15" s="17">
        <v>0.9</v>
      </c>
      <c r="G15" s="17">
        <v>0.9</v>
      </c>
      <c r="H15" s="17">
        <v>0.9</v>
      </c>
      <c r="I15" s="18" t="s">
        <v>34</v>
      </c>
      <c r="J15" s="7"/>
    </row>
    <row r="16" spans="1:14" x14ac:dyDescent="0.25">
      <c r="A16" s="4"/>
      <c r="B16" s="9"/>
      <c r="I16" s="18"/>
      <c r="J16" s="7"/>
    </row>
    <row r="17" spans="1:22" x14ac:dyDescent="0.25">
      <c r="J17" s="25" t="s">
        <v>30</v>
      </c>
      <c r="M17" s="4" t="s">
        <v>29</v>
      </c>
    </row>
    <row r="18" spans="1:22" x14ac:dyDescent="0.25">
      <c r="A18" s="3" t="s">
        <v>0</v>
      </c>
      <c r="B18" s="10" t="s">
        <v>1</v>
      </c>
      <c r="C18" s="3" t="s">
        <v>2</v>
      </c>
      <c r="D18" s="3" t="s">
        <v>3</v>
      </c>
      <c r="E18" s="3" t="s">
        <v>4</v>
      </c>
      <c r="F18" s="3" t="s">
        <v>5</v>
      </c>
      <c r="G18" s="3" t="s">
        <v>6</v>
      </c>
      <c r="H18" s="3" t="s">
        <v>7</v>
      </c>
      <c r="I18" s="3" t="s">
        <v>20</v>
      </c>
      <c r="J18" s="3" t="s">
        <v>21</v>
      </c>
      <c r="M18" s="3" t="s">
        <v>0</v>
      </c>
      <c r="N18" s="10" t="s">
        <v>1</v>
      </c>
      <c r="O18" s="3" t="s">
        <v>2</v>
      </c>
      <c r="P18" s="3" t="s">
        <v>3</v>
      </c>
      <c r="Q18" s="3" t="s">
        <v>4</v>
      </c>
      <c r="R18" s="3" t="s">
        <v>5</v>
      </c>
      <c r="S18" s="3" t="s">
        <v>6</v>
      </c>
      <c r="T18" s="3" t="s">
        <v>7</v>
      </c>
      <c r="U18" s="3" t="s">
        <v>20</v>
      </c>
      <c r="V18" s="3" t="s">
        <v>21</v>
      </c>
    </row>
    <row r="19" spans="1:22" x14ac:dyDescent="0.25">
      <c r="A19" s="1">
        <v>36556</v>
      </c>
      <c r="B19" s="26">
        <v>9.6749999999999996E-3</v>
      </c>
      <c r="C19" s="2">
        <v>9.7798369999999996E-3</v>
      </c>
      <c r="D19" s="2">
        <v>1.4363545E-2</v>
      </c>
      <c r="E19" s="2">
        <v>-2.8383256999999999E-2</v>
      </c>
      <c r="F19" s="2">
        <v>-4.0950780000000003E-3</v>
      </c>
      <c r="G19" s="2">
        <v>1.270174E-2</v>
      </c>
      <c r="H19" s="2">
        <v>9.4250849999999997E-3</v>
      </c>
      <c r="I19" s="23">
        <f>SUMPRODUCT(StyleWeights1,C19:H19)</f>
        <v>4.4295744213168654E-3</v>
      </c>
      <c r="J19" s="24">
        <f>B19-I19</f>
        <v>5.2454255786831341E-3</v>
      </c>
      <c r="M19" s="1">
        <v>37287</v>
      </c>
      <c r="N19" s="2">
        <v>1.4816667E-2</v>
      </c>
      <c r="O19" s="2">
        <v>4.0108330000000001E-3</v>
      </c>
      <c r="P19" s="2">
        <v>1.2410964E-2</v>
      </c>
      <c r="Q19" s="2">
        <v>-2.9687960000000001E-3</v>
      </c>
      <c r="R19" s="2">
        <v>1.2611944999999999E-2</v>
      </c>
      <c r="S19" s="2">
        <v>7.8259620000000005E-3</v>
      </c>
      <c r="T19" s="2">
        <v>9.2357599999999995E-4</v>
      </c>
      <c r="U19" s="23">
        <f>SUMPRODUCT(StyleWeights1,O19:T19)</f>
        <v>6.0783856271266227E-3</v>
      </c>
      <c r="V19" s="24">
        <f>N19-U19</f>
        <v>8.7382813728733785E-3</v>
      </c>
    </row>
    <row r="20" spans="1:22" x14ac:dyDescent="0.25">
      <c r="A20" s="1">
        <v>36585</v>
      </c>
      <c r="B20" s="26">
        <v>4.9525E-2</v>
      </c>
      <c r="C20" s="2">
        <v>6.8656683999999996E-2</v>
      </c>
      <c r="D20" s="2">
        <v>2.4367933000000001E-2</v>
      </c>
      <c r="E20" s="2">
        <v>2.2559302E-2</v>
      </c>
      <c r="F20" s="2">
        <v>2.0199577E-2</v>
      </c>
      <c r="G20" s="2">
        <v>4.2556451000000002E-2</v>
      </c>
      <c r="H20" s="2">
        <v>0.104027649</v>
      </c>
      <c r="I20" s="23">
        <f t="shared" ref="I20:I42" si="0">SUMPRODUCT(StyleWeights1,C20:H20)</f>
        <v>4.4271135299307561E-2</v>
      </c>
      <c r="J20" s="24">
        <f t="shared" ref="J20:J42" si="1">B20-I20</f>
        <v>5.2538647006924385E-3</v>
      </c>
    </row>
    <row r="21" spans="1:22" x14ac:dyDescent="0.25">
      <c r="A21" s="1">
        <v>36616</v>
      </c>
      <c r="B21" s="26">
        <v>9.2700000000000005E-2</v>
      </c>
      <c r="C21" s="2">
        <v>1.6337000000000001E-2</v>
      </c>
      <c r="D21" s="2">
        <v>1.4035084E-2</v>
      </c>
      <c r="E21" s="2">
        <v>1.6240702999999999E-2</v>
      </c>
      <c r="F21" s="2">
        <v>-5.2010279999999999E-3</v>
      </c>
      <c r="G21" s="2">
        <v>2.5532644E-2</v>
      </c>
      <c r="H21" s="2">
        <v>2.3776456000000001E-2</v>
      </c>
      <c r="I21" s="23">
        <f t="shared" si="0"/>
        <v>1.8825961054804601E-2</v>
      </c>
      <c r="J21" s="24">
        <f t="shared" si="1"/>
        <v>7.3874038945195397E-2</v>
      </c>
    </row>
    <row r="22" spans="1:22" x14ac:dyDescent="0.25">
      <c r="A22" s="1">
        <v>36646</v>
      </c>
      <c r="B22" s="26">
        <v>-1.4225E-2</v>
      </c>
      <c r="C22" s="2">
        <v>-1.1409073E-2</v>
      </c>
      <c r="D22" s="2">
        <v>9.3227229999999998E-3</v>
      </c>
      <c r="E22" s="2">
        <v>-2.897682E-2</v>
      </c>
      <c r="F22" s="2">
        <v>-1.2447870999999999E-2</v>
      </c>
      <c r="G22" s="2">
        <v>-3.2555499999999999E-3</v>
      </c>
      <c r="H22" s="2">
        <v>-1.5237107E-2</v>
      </c>
      <c r="I22" s="23">
        <f t="shared" si="0"/>
        <v>-8.7736649878569981E-3</v>
      </c>
      <c r="J22" s="24">
        <f t="shared" si="1"/>
        <v>-5.4513350121430017E-3</v>
      </c>
    </row>
    <row r="23" spans="1:22" x14ac:dyDescent="0.25">
      <c r="A23" s="1">
        <v>36677</v>
      </c>
      <c r="B23" s="26">
        <v>5.0075000000000001E-2</v>
      </c>
      <c r="C23" s="2">
        <v>-5.3430000000000003E-4</v>
      </c>
      <c r="D23" s="2">
        <v>1.0894869999999999E-2</v>
      </c>
      <c r="E23" s="2">
        <v>-1.8284305000000001E-2</v>
      </c>
      <c r="F23" s="2">
        <v>-1.0663633E-2</v>
      </c>
      <c r="G23" s="2">
        <v>3.8283620000000001E-3</v>
      </c>
      <c r="H23" s="2">
        <v>-4.0162899999999996E-3</v>
      </c>
      <c r="I23" s="23">
        <f t="shared" si="0"/>
        <v>-1.4389326449176197E-3</v>
      </c>
      <c r="J23" s="24">
        <f t="shared" si="1"/>
        <v>5.1513932644917618E-2</v>
      </c>
    </row>
    <row r="24" spans="1:22" x14ac:dyDescent="0.25">
      <c r="A24" s="1">
        <v>36707</v>
      </c>
      <c r="B24" s="26">
        <v>1.1174999999999999E-2</v>
      </c>
      <c r="C24" s="2">
        <v>3.3773180999999999E-2</v>
      </c>
      <c r="D24" s="2">
        <v>1.9676668000000001E-2</v>
      </c>
      <c r="E24" s="2">
        <v>2.4190856E-2</v>
      </c>
      <c r="F24" s="2">
        <v>1.4324299E-2</v>
      </c>
      <c r="G24" s="2">
        <v>2.3561783999999999E-2</v>
      </c>
      <c r="H24" s="2">
        <v>4.6330318000000002E-2</v>
      </c>
      <c r="I24" s="23">
        <f t="shared" si="0"/>
        <v>2.5641511226829374E-2</v>
      </c>
      <c r="J24" s="24">
        <f t="shared" si="1"/>
        <v>-1.4466511226829374E-2</v>
      </c>
    </row>
    <row r="25" spans="1:22" x14ac:dyDescent="0.25">
      <c r="A25" s="1">
        <v>36738</v>
      </c>
      <c r="B25" s="26">
        <v>-8.3000000000000001E-3</v>
      </c>
      <c r="C25" s="2">
        <v>1.935902E-3</v>
      </c>
      <c r="D25" s="2">
        <v>7.6622139999999997E-3</v>
      </c>
      <c r="E25" s="2">
        <v>-7.0930120000000001E-3</v>
      </c>
      <c r="F25" s="2">
        <v>5.1150290000000001E-3</v>
      </c>
      <c r="G25" s="2">
        <v>6.9831720000000002E-3</v>
      </c>
      <c r="H25" s="2">
        <v>2.4328420000000002E-3</v>
      </c>
      <c r="I25" s="23">
        <f t="shared" si="0"/>
        <v>3.8012767814316847E-3</v>
      </c>
      <c r="J25" s="24">
        <f t="shared" si="1"/>
        <v>-1.2101276781431684E-2</v>
      </c>
    </row>
    <row r="26" spans="1:22" x14ac:dyDescent="0.25">
      <c r="A26" s="1">
        <v>36769</v>
      </c>
      <c r="B26" s="26">
        <v>4.0620000000000003E-2</v>
      </c>
      <c r="C26" s="2">
        <v>4.5852563999999998E-2</v>
      </c>
      <c r="D26" s="2">
        <v>1.7715793000000001E-2</v>
      </c>
      <c r="E26" s="2">
        <v>3.8693600000000002E-2</v>
      </c>
      <c r="F26" s="2">
        <v>2.1486161E-2</v>
      </c>
      <c r="G26" s="2">
        <v>4.7211492000000001E-2</v>
      </c>
      <c r="H26" s="2">
        <v>5.7761914999999997E-2</v>
      </c>
      <c r="I26" s="23">
        <f t="shared" si="0"/>
        <v>4.1335818250559375E-2</v>
      </c>
      <c r="J26" s="24">
        <f t="shared" si="1"/>
        <v>-7.1581825055937187E-4</v>
      </c>
    </row>
    <row r="27" spans="1:22" x14ac:dyDescent="0.25">
      <c r="A27" s="1">
        <v>36799</v>
      </c>
      <c r="B27" s="26">
        <v>1.0880000000000001E-2</v>
      </c>
      <c r="C27" s="2">
        <v>5.9374329999999998E-3</v>
      </c>
      <c r="D27" s="2">
        <v>1.2098809E-2</v>
      </c>
      <c r="E27" s="2">
        <v>-1.8299350999999998E-2</v>
      </c>
      <c r="F27" s="2">
        <v>1.2422055E-2</v>
      </c>
      <c r="G27" s="2">
        <v>9.9559720000000004E-3</v>
      </c>
      <c r="H27" s="2">
        <v>6.583813E-3</v>
      </c>
      <c r="I27" s="23">
        <f t="shared" si="0"/>
        <v>5.4559607068557624E-3</v>
      </c>
      <c r="J27" s="24">
        <f t="shared" si="1"/>
        <v>5.4240392931442383E-3</v>
      </c>
    </row>
    <row r="28" spans="1:22" x14ac:dyDescent="0.25">
      <c r="A28" s="1">
        <v>36830</v>
      </c>
      <c r="B28" s="26">
        <v>5.8799999999999998E-3</v>
      </c>
      <c r="C28" s="2">
        <v>-2.453125E-3</v>
      </c>
      <c r="D28" s="2">
        <v>3.3487299999999998E-3</v>
      </c>
      <c r="E28" s="2">
        <v>2.4060299999999999E-4</v>
      </c>
      <c r="F28" s="2">
        <v>3.4191489999999998E-3</v>
      </c>
      <c r="G28" s="2">
        <v>7.3150890000000003E-3</v>
      </c>
      <c r="H28" s="2">
        <v>-6.3353089999999999E-3</v>
      </c>
      <c r="I28" s="23">
        <f t="shared" si="0"/>
        <v>3.1299474482468907E-3</v>
      </c>
      <c r="J28" s="24">
        <f t="shared" si="1"/>
        <v>2.7500525517531091E-3</v>
      </c>
    </row>
    <row r="29" spans="1:22" x14ac:dyDescent="0.25">
      <c r="A29" s="1">
        <v>36860</v>
      </c>
      <c r="B29" s="26">
        <v>2.3099999999999999E-2</v>
      </c>
      <c r="C29" s="2">
        <v>-1.5110382E-2</v>
      </c>
      <c r="D29" s="2">
        <v>-2.5889609999999999E-3</v>
      </c>
      <c r="E29" s="2">
        <v>4.4730539999999997E-3</v>
      </c>
      <c r="F29" s="2">
        <v>-9.7320299999999996E-4</v>
      </c>
      <c r="G29" s="2">
        <v>3.0231759999999998E-3</v>
      </c>
      <c r="H29" s="2">
        <v>-3.0163688000000001E-2</v>
      </c>
      <c r="I29" s="23">
        <f t="shared" si="0"/>
        <v>-2.8530809736797714E-3</v>
      </c>
      <c r="J29" s="24">
        <f t="shared" si="1"/>
        <v>2.5953080973679772E-2</v>
      </c>
    </row>
    <row r="30" spans="1:22" x14ac:dyDescent="0.25">
      <c r="A30" s="1">
        <v>36891</v>
      </c>
      <c r="B30" s="26">
        <v>3.7319999999999999E-2</v>
      </c>
      <c r="C30" s="2">
        <v>3.5494865E-2</v>
      </c>
      <c r="D30" s="2">
        <v>6.5741510000000003E-3</v>
      </c>
      <c r="E30" s="2">
        <v>2.6094145999999999E-2</v>
      </c>
      <c r="F30" s="2">
        <v>3.0588502E-2</v>
      </c>
      <c r="G30" s="2">
        <v>4.4080554000000001E-2</v>
      </c>
      <c r="H30" s="2">
        <v>3.7826285000000001E-2</v>
      </c>
      <c r="I30" s="23">
        <f t="shared" si="0"/>
        <v>3.4809232549241946E-2</v>
      </c>
      <c r="J30" s="24">
        <f t="shared" si="1"/>
        <v>2.510767450758053E-3</v>
      </c>
    </row>
    <row r="31" spans="1:22" x14ac:dyDescent="0.25">
      <c r="A31" s="1">
        <v>36922</v>
      </c>
      <c r="B31" s="26">
        <v>2.5799999999999998E-3</v>
      </c>
      <c r="C31" s="2">
        <v>3.3941129E-2</v>
      </c>
      <c r="D31" s="2">
        <v>2.5723836999999999E-2</v>
      </c>
      <c r="E31" s="2">
        <v>2.1027961000000001E-2</v>
      </c>
      <c r="F31" s="2">
        <v>5.3591735000000001E-2</v>
      </c>
      <c r="G31" s="2">
        <v>2.7567161999999999E-2</v>
      </c>
      <c r="H31" s="2">
        <v>3.4857754999999997E-2</v>
      </c>
      <c r="I31" s="23">
        <f t="shared" si="0"/>
        <v>3.0374673176686819E-2</v>
      </c>
      <c r="J31" s="24">
        <f t="shared" si="1"/>
        <v>-2.779467317668682E-2</v>
      </c>
    </row>
    <row r="32" spans="1:22" x14ac:dyDescent="0.25">
      <c r="A32" s="1">
        <v>36950</v>
      </c>
      <c r="B32" s="26">
        <v>2.2419999999999999E-2</v>
      </c>
      <c r="C32" s="2">
        <v>-6.6544680000000002E-3</v>
      </c>
      <c r="D32" s="2">
        <v>6.3167340000000001E-3</v>
      </c>
      <c r="E32" s="2">
        <v>8.2108089999999995E-3</v>
      </c>
      <c r="F32" s="2">
        <v>1.2275495000000001E-2</v>
      </c>
      <c r="G32" s="2">
        <v>6.615587E-3</v>
      </c>
      <c r="H32" s="2">
        <v>-1.7046321999999999E-2</v>
      </c>
      <c r="I32" s="23">
        <f t="shared" si="0"/>
        <v>3.696849831387199E-3</v>
      </c>
      <c r="J32" s="24">
        <f t="shared" si="1"/>
        <v>1.8723150168612798E-2</v>
      </c>
    </row>
    <row r="33" spans="1:10" x14ac:dyDescent="0.25">
      <c r="A33" s="1">
        <v>36981</v>
      </c>
      <c r="B33" s="26">
        <v>6.94E-3</v>
      </c>
      <c r="C33" s="2">
        <v>-2.7804510000000002E-3</v>
      </c>
      <c r="D33" s="2">
        <v>4.1930559999999997E-3</v>
      </c>
      <c r="E33" s="2">
        <v>1.0340630999999999E-2</v>
      </c>
      <c r="F33" s="2">
        <v>9.595737E-3</v>
      </c>
      <c r="G33" s="2">
        <v>9.1444360000000006E-3</v>
      </c>
      <c r="H33" s="2">
        <v>-1.2513599E-2</v>
      </c>
      <c r="I33" s="23">
        <f t="shared" si="0"/>
        <v>5.5148681026129971E-3</v>
      </c>
      <c r="J33" s="24">
        <f t="shared" si="1"/>
        <v>1.4251318973870029E-3</v>
      </c>
    </row>
    <row r="34" spans="1:10" x14ac:dyDescent="0.25">
      <c r="A34" s="1">
        <v>37011</v>
      </c>
      <c r="B34" s="26">
        <v>-8.9599999999999992E-3</v>
      </c>
      <c r="C34" s="2">
        <v>2.0594398E-2</v>
      </c>
      <c r="D34" s="2">
        <v>1.5175009999999999E-2</v>
      </c>
      <c r="E34" s="2">
        <v>-4.2972600000000001E-4</v>
      </c>
      <c r="F34" s="2">
        <v>1.8580823E-2</v>
      </c>
      <c r="G34" s="2">
        <v>1.2619741E-2</v>
      </c>
      <c r="H34" s="2">
        <v>3.1805476999999999E-2</v>
      </c>
      <c r="I34" s="23">
        <f t="shared" si="0"/>
        <v>1.4237599542355036E-2</v>
      </c>
      <c r="J34" s="24">
        <f t="shared" si="1"/>
        <v>-2.3197599542355035E-2</v>
      </c>
    </row>
    <row r="35" spans="1:10" x14ac:dyDescent="0.25">
      <c r="A35" s="1">
        <v>37042</v>
      </c>
      <c r="B35" s="26">
        <v>1.83E-2</v>
      </c>
      <c r="C35" s="2">
        <v>2.0188497E-2</v>
      </c>
      <c r="D35" s="2">
        <v>1.4963875E-2</v>
      </c>
      <c r="E35" s="2">
        <v>2.357769E-3</v>
      </c>
      <c r="F35" s="2">
        <v>1.7719571E-2</v>
      </c>
      <c r="G35" s="2">
        <v>2.3909308000000001E-2</v>
      </c>
      <c r="H35" s="2">
        <v>2.1386769E-2</v>
      </c>
      <c r="I35" s="23">
        <f t="shared" si="0"/>
        <v>1.8551283674275595E-2</v>
      </c>
      <c r="J35" s="24">
        <f t="shared" si="1"/>
        <v>-2.5128367427559514E-4</v>
      </c>
    </row>
    <row r="36" spans="1:10" x14ac:dyDescent="0.25">
      <c r="A36" s="1">
        <v>37072</v>
      </c>
      <c r="B36" s="26">
        <v>-1.8780000000000002E-2</v>
      </c>
      <c r="C36" s="2">
        <v>6.6561830000000004E-3</v>
      </c>
      <c r="D36" s="2">
        <v>5.6035080000000001E-3</v>
      </c>
      <c r="E36" s="2">
        <v>-2.1580129999999999E-3</v>
      </c>
      <c r="F36" s="2">
        <v>8.7696779999999995E-3</v>
      </c>
      <c r="G36" s="2">
        <v>1.3726133999999999E-2</v>
      </c>
      <c r="H36" s="2">
        <v>5.4248949999999999E-3</v>
      </c>
      <c r="I36" s="23">
        <f t="shared" si="0"/>
        <v>8.5077407685932235E-3</v>
      </c>
      <c r="J36" s="24">
        <f t="shared" si="1"/>
        <v>-2.7287740768593225E-2</v>
      </c>
    </row>
    <row r="37" spans="1:10" x14ac:dyDescent="0.25">
      <c r="A37" s="1">
        <v>37103</v>
      </c>
      <c r="B37" s="26">
        <v>-1.6639999999999999E-2</v>
      </c>
      <c r="C37" s="2">
        <v>-1.7329310000000001E-3</v>
      </c>
      <c r="D37" s="2">
        <v>9.6120560000000008E-3</v>
      </c>
      <c r="E37" s="2">
        <v>-8.6170139999999992E-3</v>
      </c>
      <c r="F37" s="2">
        <v>1.5696234999999999E-2</v>
      </c>
      <c r="G37" s="2">
        <v>1.9467690000000001E-3</v>
      </c>
      <c r="H37" s="2">
        <v>-5.7960210000000002E-3</v>
      </c>
      <c r="I37" s="23">
        <f t="shared" si="0"/>
        <v>1.3675835832517001E-3</v>
      </c>
      <c r="J37" s="24">
        <f t="shared" si="1"/>
        <v>-1.8007583583251698E-2</v>
      </c>
    </row>
    <row r="38" spans="1:10" x14ac:dyDescent="0.25">
      <c r="A38" s="1">
        <v>37134</v>
      </c>
      <c r="B38" s="26">
        <v>1.04E-2</v>
      </c>
      <c r="C38" s="2">
        <v>2.9432500000000001E-4</v>
      </c>
      <c r="D38" s="2">
        <v>9.0385589999999998E-3</v>
      </c>
      <c r="E38" s="2">
        <v>-1.1612311E-2</v>
      </c>
      <c r="F38" s="2">
        <v>1.8466338999999998E-2</v>
      </c>
      <c r="G38" s="2">
        <v>1.0490453E-2</v>
      </c>
      <c r="H38" s="2">
        <v>-7.4810400000000004E-3</v>
      </c>
      <c r="I38" s="23">
        <f t="shared" si="0"/>
        <v>5.0235552344009499E-3</v>
      </c>
      <c r="J38" s="24">
        <f t="shared" si="1"/>
        <v>5.3764447655990496E-3</v>
      </c>
    </row>
    <row r="39" spans="1:10" x14ac:dyDescent="0.25">
      <c r="A39" s="1">
        <v>37164</v>
      </c>
      <c r="B39" s="26">
        <v>5.8380000000000001E-2</v>
      </c>
      <c r="C39" s="2">
        <v>-1.9977828999999999E-2</v>
      </c>
      <c r="D39" s="2">
        <v>-9.3664170000000001E-3</v>
      </c>
      <c r="E39" s="2">
        <v>-8.5291780000000001E-3</v>
      </c>
      <c r="F39" s="2">
        <v>4.4921839999999998E-3</v>
      </c>
      <c r="G39" s="2">
        <v>-1.908903E-3</v>
      </c>
      <c r="H39" s="2">
        <v>-3.3613213000000003E-2</v>
      </c>
      <c r="I39" s="23">
        <f t="shared" si="0"/>
        <v>-7.981052779828756E-3</v>
      </c>
      <c r="J39" s="24">
        <f t="shared" si="1"/>
        <v>6.6361052779828761E-2</v>
      </c>
    </row>
    <row r="40" spans="1:10" x14ac:dyDescent="0.25">
      <c r="A40" s="1">
        <v>37195</v>
      </c>
      <c r="B40" s="26">
        <v>1.8000000000000001E-4</v>
      </c>
      <c r="C40" s="2">
        <v>2.0746506000000001E-2</v>
      </c>
      <c r="D40" s="2">
        <v>6.1863939999999996E-3</v>
      </c>
      <c r="E40" s="2">
        <v>2.7305067999999998E-2</v>
      </c>
      <c r="F40" s="2">
        <v>1.6444186E-2</v>
      </c>
      <c r="G40" s="2">
        <v>2.4059540000000001E-2</v>
      </c>
      <c r="H40" s="2">
        <v>2.2786150000000002E-2</v>
      </c>
      <c r="I40" s="23">
        <f t="shared" si="0"/>
        <v>2.1536985564196604E-2</v>
      </c>
      <c r="J40" s="24">
        <f t="shared" si="1"/>
        <v>-2.1356985564196605E-2</v>
      </c>
    </row>
    <row r="41" spans="1:10" x14ac:dyDescent="0.25">
      <c r="A41" s="1">
        <v>37225</v>
      </c>
      <c r="B41" s="26">
        <v>-1.5966667E-2</v>
      </c>
      <c r="C41" s="2">
        <v>1.5774143000000001E-2</v>
      </c>
      <c r="D41" s="2">
        <v>8.1434769999999997E-3</v>
      </c>
      <c r="E41" s="2">
        <v>-5.7074730000000002E-3</v>
      </c>
      <c r="F41" s="2">
        <v>2.4000385999999999E-2</v>
      </c>
      <c r="G41" s="2">
        <v>7.8739380000000005E-3</v>
      </c>
      <c r="H41" s="2">
        <v>2.6845876000000001E-2</v>
      </c>
      <c r="I41" s="23">
        <f t="shared" si="0"/>
        <v>1.0171453517045811E-2</v>
      </c>
      <c r="J41" s="24">
        <f t="shared" si="1"/>
        <v>-2.613812051704581E-2</v>
      </c>
    </row>
    <row r="42" spans="1:10" x14ac:dyDescent="0.25">
      <c r="A42" s="1">
        <v>37256</v>
      </c>
      <c r="B42" s="26">
        <v>8.4333329999999995E-3</v>
      </c>
      <c r="C42" s="2">
        <v>1.7190554E-2</v>
      </c>
      <c r="D42" s="2">
        <v>6.3244750000000004E-3</v>
      </c>
      <c r="E42" s="2">
        <v>8.2274599999999996E-4</v>
      </c>
      <c r="F42" s="2">
        <v>1.9308623E-2</v>
      </c>
      <c r="G42" s="2">
        <v>1.5787724999999999E-2</v>
      </c>
      <c r="H42" s="2">
        <v>2.3692537E-2</v>
      </c>
      <c r="I42" s="23">
        <f t="shared" si="0"/>
        <v>1.3888227450527093E-2</v>
      </c>
      <c r="J42" s="24">
        <f t="shared" si="1"/>
        <v>-5.4548944505270931E-3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1C7B-70BE-437C-8FA0-8E918B45242B}">
  <sheetPr codeName="Sheet3"/>
  <dimension ref="A1:N54"/>
  <sheetViews>
    <sheetView workbookViewId="0">
      <selection activeCell="D17" sqref="D17"/>
    </sheetView>
  </sheetViews>
  <sheetFormatPr defaultRowHeight="13.8" x14ac:dyDescent="0.25"/>
  <cols>
    <col min="1" max="1" width="13.33203125" bestFit="1" customWidth="1"/>
    <col min="9" max="9" width="13.109375" bestFit="1" customWidth="1"/>
    <col min="12" max="12" width="11.5546875" customWidth="1"/>
  </cols>
  <sheetData>
    <row r="1" spans="1:14" x14ac:dyDescent="0.25">
      <c r="A1" s="4" t="s">
        <v>8</v>
      </c>
    </row>
    <row r="2" spans="1:14" x14ac:dyDescent="0.25">
      <c r="A2" s="4"/>
      <c r="B2" s="4" t="s">
        <v>9</v>
      </c>
    </row>
    <row r="3" spans="1:14" x14ac:dyDescent="0.25">
      <c r="A3" s="4"/>
      <c r="J3" s="11" t="s">
        <v>10</v>
      </c>
      <c r="M3" s="20">
        <f>AVERAGE(Errors2)</f>
        <v>-1.8634864264525659E-4</v>
      </c>
    </row>
    <row r="4" spans="1:14" x14ac:dyDescent="0.25">
      <c r="A4" s="4"/>
      <c r="B4" s="14" t="s">
        <v>11</v>
      </c>
      <c r="D4" s="15" t="s">
        <v>27</v>
      </c>
      <c r="J4" s="13" t="s">
        <v>13</v>
      </c>
      <c r="M4" s="20">
        <f>VAR(Errors2)</f>
        <v>3.3754521246855514E-4</v>
      </c>
    </row>
    <row r="5" spans="1:14" x14ac:dyDescent="0.25">
      <c r="A5" s="4"/>
      <c r="B5" s="14" t="s">
        <v>12</v>
      </c>
      <c r="D5" s="15" t="s">
        <v>22</v>
      </c>
      <c r="J5" s="11" t="s">
        <v>31</v>
      </c>
      <c r="M5" s="20">
        <f xml:space="preserve"> M4*10000</f>
        <v>3.3754521246855513</v>
      </c>
      <c r="N5" s="15" t="s">
        <v>27</v>
      </c>
    </row>
    <row r="6" spans="1:14" x14ac:dyDescent="0.25">
      <c r="A6" s="4"/>
      <c r="B6" s="14" t="s">
        <v>14</v>
      </c>
      <c r="D6" s="15" t="s">
        <v>25</v>
      </c>
      <c r="J6" s="12" t="s">
        <v>15</v>
      </c>
      <c r="M6" s="21">
        <f>SQRT(M4)</f>
        <v>1.8372403557198366E-2</v>
      </c>
    </row>
    <row r="7" spans="1:14" x14ac:dyDescent="0.25">
      <c r="A7" s="4"/>
      <c r="D7" s="15" t="s">
        <v>26</v>
      </c>
      <c r="J7" t="s">
        <v>32</v>
      </c>
      <c r="M7">
        <f>SUM(StyleWeights2)</f>
        <v>1</v>
      </c>
      <c r="N7">
        <v>1</v>
      </c>
    </row>
    <row r="8" spans="1:14" x14ac:dyDescent="0.25">
      <c r="A8" s="4"/>
    </row>
    <row r="9" spans="1:14" x14ac:dyDescent="0.25">
      <c r="A9" s="4"/>
      <c r="I9" s="5"/>
    </row>
    <row r="10" spans="1:14" x14ac:dyDescent="0.25">
      <c r="A10" s="4"/>
    </row>
    <row r="11" spans="1:14" x14ac:dyDescent="0.25">
      <c r="A11" s="4"/>
      <c r="B11" s="4" t="s">
        <v>16</v>
      </c>
    </row>
    <row r="12" spans="1:14" x14ac:dyDescent="0.25">
      <c r="A12" s="4"/>
      <c r="C12" s="3" t="s">
        <v>2</v>
      </c>
      <c r="D12" s="3" t="s">
        <v>4</v>
      </c>
      <c r="E12" s="3" t="s">
        <v>5</v>
      </c>
      <c r="F12" s="3" t="s">
        <v>6</v>
      </c>
      <c r="G12" s="3" t="s">
        <v>7</v>
      </c>
      <c r="H12" s="8"/>
      <c r="I12" s="8"/>
    </row>
    <row r="13" spans="1:14" x14ac:dyDescent="0.25">
      <c r="A13" s="4"/>
      <c r="B13" s="9" t="s">
        <v>17</v>
      </c>
      <c r="C13" s="17">
        <v>0.1</v>
      </c>
      <c r="D13" s="17">
        <v>0.1</v>
      </c>
      <c r="E13" s="17">
        <v>0.1</v>
      </c>
      <c r="F13" s="17">
        <v>0.1</v>
      </c>
      <c r="G13" s="17">
        <v>0.1</v>
      </c>
      <c r="H13" s="19" t="s">
        <v>33</v>
      </c>
      <c r="I13" s="7"/>
    </row>
    <row r="14" spans="1:14" x14ac:dyDescent="0.25">
      <c r="A14" s="4"/>
      <c r="B14" s="9" t="s">
        <v>18</v>
      </c>
      <c r="C14" s="16">
        <v>0.1</v>
      </c>
      <c r="D14" s="22">
        <v>0.1</v>
      </c>
      <c r="E14" s="22">
        <v>0.1</v>
      </c>
      <c r="F14" s="22">
        <v>0.56652333107862241</v>
      </c>
      <c r="G14" s="22">
        <v>0.13347666892137755</v>
      </c>
      <c r="H14" s="15" t="s">
        <v>28</v>
      </c>
      <c r="I14" s="7"/>
    </row>
    <row r="15" spans="1:14" x14ac:dyDescent="0.25">
      <c r="A15" s="4"/>
      <c r="B15" s="9" t="s">
        <v>19</v>
      </c>
      <c r="C15" s="17">
        <v>0.9</v>
      </c>
      <c r="D15" s="17">
        <v>0.9</v>
      </c>
      <c r="E15" s="17">
        <v>0.9</v>
      </c>
      <c r="F15" s="17">
        <v>0.9</v>
      </c>
      <c r="G15" s="17">
        <v>0.9</v>
      </c>
      <c r="H15" s="18" t="s">
        <v>34</v>
      </c>
      <c r="I15" s="7"/>
    </row>
    <row r="16" spans="1:14" x14ac:dyDescent="0.25">
      <c r="A16" s="4"/>
      <c r="B16" s="9"/>
      <c r="H16" s="18"/>
      <c r="I16" s="7"/>
    </row>
    <row r="17" spans="1:9" x14ac:dyDescent="0.25">
      <c r="I17" s="25" t="s">
        <v>30</v>
      </c>
    </row>
    <row r="18" spans="1:9" x14ac:dyDescent="0.25">
      <c r="A18" s="3" t="s">
        <v>0</v>
      </c>
      <c r="B18" s="10" t="s">
        <v>1</v>
      </c>
      <c r="C18" s="3" t="s">
        <v>2</v>
      </c>
      <c r="D18" s="3" t="s">
        <v>4</v>
      </c>
      <c r="E18" s="3" t="s">
        <v>5</v>
      </c>
      <c r="F18" s="3" t="s">
        <v>6</v>
      </c>
      <c r="G18" s="3" t="s">
        <v>7</v>
      </c>
      <c r="H18" s="3" t="s">
        <v>20</v>
      </c>
      <c r="I18" s="3" t="s">
        <v>21</v>
      </c>
    </row>
    <row r="19" spans="1:9" x14ac:dyDescent="0.25">
      <c r="A19" s="27">
        <v>43131</v>
      </c>
      <c r="B19">
        <v>1.4708459520423E-2</v>
      </c>
      <c r="C19">
        <v>1.5654980330331299E-2</v>
      </c>
      <c r="D19">
        <v>1.4927589477782199E-2</v>
      </c>
      <c r="E19">
        <v>9.5905080646939006E-3</v>
      </c>
      <c r="F19">
        <v>1.4609029295228799E-2</v>
      </c>
      <c r="G19">
        <v>2.3067170626647902E-2</v>
      </c>
      <c r="H19">
        <f t="shared" ref="H19:H54" si="0">SUMPRODUCT(StyleWeights2,C19:G19)</f>
        <v>1.5372592824124946E-2</v>
      </c>
      <c r="I19">
        <f>B19-H19</f>
        <v>-6.6413330370194631E-4</v>
      </c>
    </row>
    <row r="20" spans="1:9" x14ac:dyDescent="0.25">
      <c r="A20" s="27">
        <v>43159</v>
      </c>
      <c r="B20">
        <v>-5.4104868269840095E-2</v>
      </c>
      <c r="C20">
        <v>-1.4535849347176199E-2</v>
      </c>
      <c r="D20">
        <v>-1.2663439607802999E-2</v>
      </c>
      <c r="E20">
        <v>3.63627997730825E-3</v>
      </c>
      <c r="F20">
        <v>-1.6003157376637201E-2</v>
      </c>
      <c r="G20">
        <v>-1.78764166777482E-2</v>
      </c>
      <c r="H20">
        <f t="shared" si="0"/>
        <v>-1.3808547472951418E-2</v>
      </c>
      <c r="I20">
        <f t="shared" ref="I20:I54" si="1">B20-H20</f>
        <v>-4.0296320796888677E-2</v>
      </c>
    </row>
    <row r="21" spans="1:9" x14ac:dyDescent="0.25">
      <c r="A21" s="27">
        <v>43190</v>
      </c>
      <c r="B21">
        <v>-5.1891322363273699E-3</v>
      </c>
      <c r="C21">
        <v>-5.5645602274637593E-3</v>
      </c>
      <c r="D21">
        <v>7.2545117156398405E-4</v>
      </c>
      <c r="E21">
        <v>2.30982845920445E-3</v>
      </c>
      <c r="F21">
        <v>-7.7171890014688105E-3</v>
      </c>
      <c r="G21">
        <v>-5.6246170567145403E-3</v>
      </c>
      <c r="H21">
        <f t="shared" si="0"/>
        <v>-5.3756508280335714E-3</v>
      </c>
      <c r="I21">
        <f t="shared" si="1"/>
        <v>1.865185917062015E-4</v>
      </c>
    </row>
    <row r="22" spans="1:9" x14ac:dyDescent="0.25">
      <c r="A22" s="27">
        <v>43220</v>
      </c>
      <c r="B22">
        <v>-1.5214647839380899E-2</v>
      </c>
      <c r="C22">
        <v>5.2535366941173804E-3</v>
      </c>
      <c r="D22">
        <v>6.3664940927864802E-3</v>
      </c>
      <c r="E22">
        <v>6.5018742560478604E-3</v>
      </c>
      <c r="F22">
        <v>4.7702898346121706E-3</v>
      </c>
      <c r="G22">
        <v>5.8293958707030498E-3</v>
      </c>
      <c r="H22">
        <f t="shared" si="0"/>
        <v>5.292759334255626E-3</v>
      </c>
      <c r="I22">
        <f t="shared" si="1"/>
        <v>-2.0507407173636527E-2</v>
      </c>
    </row>
    <row r="23" spans="1:9" x14ac:dyDescent="0.25">
      <c r="A23" s="27">
        <v>43251</v>
      </c>
      <c r="B23">
        <v>1.8807075782652602E-2</v>
      </c>
      <c r="C23">
        <v>1.6053441939207099E-2</v>
      </c>
      <c r="D23">
        <v>8.8568045518700594E-3</v>
      </c>
      <c r="E23">
        <v>5.7214286510740998E-3</v>
      </c>
      <c r="F23">
        <v>1.6832259670344199E-2</v>
      </c>
      <c r="G23">
        <v>2.6382455685793903E-2</v>
      </c>
      <c r="H23">
        <f t="shared" si="0"/>
        <v>1.6120477635144504E-2</v>
      </c>
      <c r="I23">
        <f t="shared" si="1"/>
        <v>2.6865981475080979E-3</v>
      </c>
    </row>
    <row r="24" spans="1:9" x14ac:dyDescent="0.25">
      <c r="A24" s="27">
        <v>43281</v>
      </c>
      <c r="B24">
        <v>-8.0303816792578701E-3</v>
      </c>
      <c r="C24">
        <v>7.1495546525602194E-4</v>
      </c>
      <c r="D24">
        <v>2.8115181388113503E-3</v>
      </c>
      <c r="E24">
        <v>3.62492460610063E-3</v>
      </c>
      <c r="F24">
        <v>-1.5326778362237601E-4</v>
      </c>
      <c r="G24">
        <v>1.5110336243693802E-3</v>
      </c>
      <c r="H24">
        <f t="shared" si="0"/>
        <v>8.2999778050103518E-4</v>
      </c>
      <c r="I24">
        <f t="shared" si="1"/>
        <v>-8.8603794597589061E-3</v>
      </c>
    </row>
    <row r="25" spans="1:9" x14ac:dyDescent="0.25">
      <c r="A25" s="27">
        <v>43312</v>
      </c>
      <c r="B25">
        <v>1.8628079178188699E-2</v>
      </c>
      <c r="C25">
        <v>7.7037932315002196E-3</v>
      </c>
      <c r="D25">
        <v>1.09117756165268E-2</v>
      </c>
      <c r="E25">
        <v>7.3017116940772495E-3</v>
      </c>
      <c r="F25">
        <v>8.1830320208133595E-3</v>
      </c>
      <c r="G25">
        <v>7.1180303667924905E-3</v>
      </c>
      <c r="H25">
        <f t="shared" si="0"/>
        <v>8.1776975956053145E-3</v>
      </c>
      <c r="I25">
        <f t="shared" si="1"/>
        <v>1.0450381582583384E-2</v>
      </c>
    </row>
    <row r="26" spans="1:9" x14ac:dyDescent="0.25">
      <c r="A26" s="27">
        <v>43343</v>
      </c>
      <c r="B26">
        <v>2.4077428034692996E-2</v>
      </c>
      <c r="C26">
        <v>1.10051420172063E-2</v>
      </c>
      <c r="D26">
        <v>8.771891069327041E-3</v>
      </c>
      <c r="E26">
        <v>4.6388266747899596E-3</v>
      </c>
      <c r="F26">
        <v>1.16422675191853E-2</v>
      </c>
      <c r="G26">
        <v>1.8823183719933599E-2</v>
      </c>
      <c r="H26">
        <f t="shared" si="0"/>
        <v>1.1549658013841476E-2</v>
      </c>
      <c r="I26">
        <f t="shared" si="1"/>
        <v>1.2527770020851521E-2</v>
      </c>
    </row>
    <row r="27" spans="1:9" x14ac:dyDescent="0.25">
      <c r="A27" s="27">
        <v>43373</v>
      </c>
      <c r="B27">
        <v>-6.7923786595869293E-3</v>
      </c>
      <c r="C27">
        <v>4.3918218081913401E-4</v>
      </c>
      <c r="D27">
        <v>3.1507462386787199E-3</v>
      </c>
      <c r="E27">
        <v>3.3651220140816802E-3</v>
      </c>
      <c r="F27">
        <v>-4.3935783285491701E-4</v>
      </c>
      <c r="G27">
        <v>-9.1490197351062994E-4</v>
      </c>
      <c r="H27">
        <f t="shared" si="0"/>
        <v>3.2448051253970798E-4</v>
      </c>
      <c r="I27">
        <f t="shared" si="1"/>
        <v>-7.1168591721266373E-3</v>
      </c>
    </row>
    <row r="28" spans="1:9" x14ac:dyDescent="0.25">
      <c r="A28" s="27">
        <v>43404</v>
      </c>
      <c r="B28">
        <v>-5.0612322422545597E-2</v>
      </c>
      <c r="C28">
        <v>-2.8161322888854201E-2</v>
      </c>
      <c r="D28">
        <v>-1.59086798453195E-2</v>
      </c>
      <c r="E28">
        <v>-3.8118830626016498E-3</v>
      </c>
      <c r="F28">
        <v>-3.0269725922379597E-2</v>
      </c>
      <c r="G28">
        <v>-4.0367768637069104E-2</v>
      </c>
      <c r="H28">
        <f t="shared" si="0"/>
        <v>-2.7324849829525794E-2</v>
      </c>
      <c r="I28">
        <f t="shared" si="1"/>
        <v>-2.3287472593019803E-2</v>
      </c>
    </row>
    <row r="29" spans="1:9" x14ac:dyDescent="0.25">
      <c r="A29" s="27">
        <v>43434</v>
      </c>
      <c r="B29">
        <v>5.9954627199804702E-3</v>
      </c>
      <c r="C29">
        <v>2.3122156878020901E-4</v>
      </c>
      <c r="D29">
        <v>-1.78414455014576E-3</v>
      </c>
      <c r="E29">
        <v>-3.3565151985080898E-3</v>
      </c>
      <c r="F29">
        <v>1.7569386190522901E-3</v>
      </c>
      <c r="G29">
        <v>-6.6772636859623001E-3</v>
      </c>
      <c r="H29">
        <f t="shared" si="0"/>
        <v>-3.8685601333311292E-4</v>
      </c>
      <c r="I29">
        <f t="shared" si="1"/>
        <v>6.3823187333135831E-3</v>
      </c>
    </row>
    <row r="30" spans="1:9" x14ac:dyDescent="0.25">
      <c r="A30" s="27">
        <v>43465</v>
      </c>
      <c r="B30">
        <v>-4.5820610214407705E-2</v>
      </c>
      <c r="C30">
        <v>-3.5785043593142198E-2</v>
      </c>
      <c r="D30">
        <v>-2.47167413927422E-2</v>
      </c>
      <c r="E30">
        <v>-1.03634256071284E-2</v>
      </c>
      <c r="F30">
        <v>-3.7443145589580298E-2</v>
      </c>
      <c r="G30">
        <v>-4.8778514787145601E-2</v>
      </c>
      <c r="H30">
        <f t="shared" si="0"/>
        <v>-3.4809730293492491E-2</v>
      </c>
      <c r="I30">
        <f t="shared" si="1"/>
        <v>-1.1010879920915213E-2</v>
      </c>
    </row>
    <row r="31" spans="1:9" x14ac:dyDescent="0.25">
      <c r="A31" s="27">
        <v>43496</v>
      </c>
      <c r="B31">
        <v>2.6128023172556501E-2</v>
      </c>
      <c r="C31">
        <v>3.5384428436810597E-2</v>
      </c>
      <c r="D31">
        <v>2.8861716643674099E-2</v>
      </c>
      <c r="E31">
        <v>1.6346784743984398E-2</v>
      </c>
      <c r="F31">
        <v>3.48309136754947E-2</v>
      </c>
      <c r="G31">
        <v>5.4366911557917702E-2</v>
      </c>
      <c r="H31">
        <f t="shared" si="0"/>
        <v>3.5048532476694101E-2</v>
      </c>
      <c r="I31">
        <f t="shared" si="1"/>
        <v>-8.9205093041376006E-3</v>
      </c>
    </row>
    <row r="32" spans="1:9" x14ac:dyDescent="0.25">
      <c r="A32" s="27">
        <v>43524</v>
      </c>
      <c r="B32">
        <v>-1.4488186395031799E-3</v>
      </c>
      <c r="C32">
        <v>1.3923821078396801E-2</v>
      </c>
      <c r="D32">
        <v>7.8990801412010207E-3</v>
      </c>
      <c r="E32">
        <v>8.0264529914021495E-3</v>
      </c>
      <c r="F32">
        <v>1.41293900344507E-2</v>
      </c>
      <c r="G32">
        <v>2.1071807606053299E-2</v>
      </c>
      <c r="H32">
        <f t="shared" si="0"/>
        <v>1.3802159216934243E-2</v>
      </c>
      <c r="I32">
        <f t="shared" si="1"/>
        <v>-1.5250977856437423E-2</v>
      </c>
    </row>
    <row r="33" spans="1:9" x14ac:dyDescent="0.25">
      <c r="A33" s="27">
        <v>43555</v>
      </c>
      <c r="B33">
        <v>1.3959247594050902E-2</v>
      </c>
      <c r="C33">
        <v>4.3626078365601798E-3</v>
      </c>
      <c r="D33">
        <v>4.3629138733286702E-3</v>
      </c>
      <c r="E33">
        <v>5.6737574330567196E-3</v>
      </c>
      <c r="F33">
        <v>3.9893883711926295E-3</v>
      </c>
      <c r="G33">
        <v>4.1578173400025099E-3</v>
      </c>
      <c r="H33">
        <f t="shared" si="0"/>
        <v>4.2549811118360037E-3</v>
      </c>
      <c r="I33">
        <f t="shared" si="1"/>
        <v>9.7042664822148978E-3</v>
      </c>
    </row>
    <row r="34" spans="1:9" x14ac:dyDescent="0.25">
      <c r="A34" s="27">
        <v>43585</v>
      </c>
      <c r="B34">
        <v>2.6530619772246099E-2</v>
      </c>
      <c r="C34">
        <v>1.3306575547173001E-2</v>
      </c>
      <c r="D34">
        <v>1.2107821128829801E-2</v>
      </c>
      <c r="E34">
        <v>8.6083322836654191E-3</v>
      </c>
      <c r="F34">
        <v>1.29242004970729E-2</v>
      </c>
      <c r="G34">
        <v>1.8868780108970799E-2</v>
      </c>
      <c r="H34">
        <f t="shared" si="0"/>
        <v>1.3242675928651918E-2</v>
      </c>
      <c r="I34">
        <f t="shared" si="1"/>
        <v>1.3287943843594181E-2</v>
      </c>
    </row>
    <row r="35" spans="1:9" x14ac:dyDescent="0.25">
      <c r="A35" s="27">
        <v>43616</v>
      </c>
      <c r="B35">
        <v>-2.93061777820873E-2</v>
      </c>
      <c r="C35">
        <v>-1.56839088660875E-2</v>
      </c>
      <c r="D35">
        <v>-5.64020718429424E-3</v>
      </c>
      <c r="E35">
        <v>2.3487275218691699E-3</v>
      </c>
      <c r="F35">
        <v>-1.7132894883550499E-2</v>
      </c>
      <c r="G35">
        <v>-2.2484698264345401E-2</v>
      </c>
      <c r="H35">
        <f t="shared" si="0"/>
        <v>-1.4604906159327276E-2</v>
      </c>
      <c r="I35">
        <f t="shared" si="1"/>
        <v>-1.4701271622760024E-2</v>
      </c>
    </row>
    <row r="36" spans="1:9" x14ac:dyDescent="0.25">
      <c r="A36" s="27">
        <v>43646</v>
      </c>
      <c r="B36">
        <v>3.83576687931972E-2</v>
      </c>
      <c r="C36">
        <v>1.660468460147E-2</v>
      </c>
      <c r="D36">
        <v>1.2541746507285101E-2</v>
      </c>
      <c r="E36">
        <v>3.5179776386120199E-3</v>
      </c>
      <c r="F36">
        <v>1.6267361542855199E-2</v>
      </c>
      <c r="G36">
        <v>2.2006911317265301E-2</v>
      </c>
      <c r="H36">
        <f t="shared" si="0"/>
        <v>1.5419689939732055E-2</v>
      </c>
      <c r="I36">
        <f t="shared" si="1"/>
        <v>2.2937978853465144E-2</v>
      </c>
    </row>
    <row r="37" spans="1:9" x14ac:dyDescent="0.25">
      <c r="A37" s="27">
        <v>43677</v>
      </c>
      <c r="B37">
        <v>1.32473780367317E-3</v>
      </c>
      <c r="C37">
        <v>3.4506061078093397E-3</v>
      </c>
      <c r="D37">
        <v>4.8233963047911999E-3</v>
      </c>
      <c r="E37">
        <v>4.6449250019175098E-3</v>
      </c>
      <c r="F37">
        <v>3.4791640773266601E-3</v>
      </c>
      <c r="G37">
        <v>5.2758052889694991E-3</v>
      </c>
      <c r="H37">
        <f t="shared" si="0"/>
        <v>3.9671172797574213E-3</v>
      </c>
      <c r="I37">
        <f t="shared" si="1"/>
        <v>-2.6423794760842513E-3</v>
      </c>
    </row>
    <row r="38" spans="1:9" x14ac:dyDescent="0.25">
      <c r="A38" s="27">
        <v>43708</v>
      </c>
      <c r="B38">
        <v>-1.26603890275514E-2</v>
      </c>
      <c r="C38">
        <v>-1.0146486905063701E-2</v>
      </c>
      <c r="D38">
        <v>-5.2397258373328105E-3</v>
      </c>
      <c r="E38">
        <v>2.1757050001687601E-4</v>
      </c>
      <c r="F38">
        <v>-1.1714915438440401E-2</v>
      </c>
      <c r="G38">
        <v>-1.66363832723435E-2</v>
      </c>
      <c r="H38">
        <f t="shared" si="0"/>
        <v>-1.0374206163819337E-2</v>
      </c>
      <c r="I38">
        <f t="shared" si="1"/>
        <v>-2.2861828637320628E-3</v>
      </c>
    </row>
    <row r="39" spans="1:9" x14ac:dyDescent="0.25">
      <c r="A39" s="27">
        <v>43738</v>
      </c>
      <c r="B39">
        <v>-1.5132424960506602E-2</v>
      </c>
      <c r="C39">
        <v>-3.2613585744243299E-4</v>
      </c>
      <c r="D39">
        <v>3.06856193296465E-3</v>
      </c>
      <c r="E39">
        <v>3.0320479187416899E-3</v>
      </c>
      <c r="F39">
        <v>-1.59759592540127E-3</v>
      </c>
      <c r="G39">
        <v>-1.6102864779686098E-3</v>
      </c>
      <c r="H39">
        <f t="shared" si="0"/>
        <v>-5.4256364103795831E-4</v>
      </c>
      <c r="I39">
        <f t="shared" si="1"/>
        <v>-1.4589861319468643E-2</v>
      </c>
    </row>
    <row r="40" spans="1:9" x14ac:dyDescent="0.25">
      <c r="A40" s="27">
        <v>43769</v>
      </c>
      <c r="B40">
        <v>-5.8018120393121594E-3</v>
      </c>
      <c r="C40">
        <v>4.2741588019230897E-3</v>
      </c>
      <c r="D40">
        <v>-1.1291986773919501E-3</v>
      </c>
      <c r="E40">
        <v>5.6307908632327293E-4</v>
      </c>
      <c r="F40">
        <v>3.6517432988170898E-3</v>
      </c>
      <c r="G40">
        <v>7.9491006406684703E-3</v>
      </c>
      <c r="H40">
        <f t="shared" si="0"/>
        <v>3.5006211734125519E-3</v>
      </c>
      <c r="I40">
        <f t="shared" si="1"/>
        <v>-9.3024332127247117E-3</v>
      </c>
    </row>
    <row r="41" spans="1:9" x14ac:dyDescent="0.25">
      <c r="A41" s="27">
        <v>43799</v>
      </c>
      <c r="B41">
        <v>1.6814815668203399E-2</v>
      </c>
      <c r="C41">
        <v>1.3377554624033601E-2</v>
      </c>
      <c r="D41">
        <v>6.0143453562385195E-3</v>
      </c>
      <c r="E41">
        <v>3.26841908396439E-3</v>
      </c>
      <c r="F41">
        <v>1.2245399963672401E-2</v>
      </c>
      <c r="G41">
        <v>2.0509150531689099E-2</v>
      </c>
      <c r="H41">
        <f t="shared" si="0"/>
        <v>1.1940829779610342E-2</v>
      </c>
      <c r="I41">
        <f t="shared" si="1"/>
        <v>4.8739858885930576E-3</v>
      </c>
    </row>
    <row r="42" spans="1:9" x14ac:dyDescent="0.25">
      <c r="A42" s="27">
        <v>43830</v>
      </c>
      <c r="B42">
        <v>-4.0103951760793203E-3</v>
      </c>
      <c r="C42">
        <v>1.27526735781945E-2</v>
      </c>
      <c r="D42">
        <v>8.7217158510605099E-3</v>
      </c>
      <c r="E42">
        <v>1.0205473210929E-2</v>
      </c>
      <c r="F42">
        <v>1.32055558644816E-2</v>
      </c>
      <c r="G42">
        <v>1.47059309133349E-2</v>
      </c>
      <c r="H42">
        <f t="shared" si="0"/>
        <v>1.2612140432809209E-2</v>
      </c>
      <c r="I42">
        <f t="shared" si="1"/>
        <v>-1.6622535608888531E-2</v>
      </c>
    </row>
    <row r="43" spans="1:9" x14ac:dyDescent="0.25">
      <c r="A43" s="27">
        <v>43861</v>
      </c>
      <c r="B43">
        <v>4.4592590446335097E-3</v>
      </c>
      <c r="C43">
        <v>-1.7725974842948899E-3</v>
      </c>
      <c r="D43">
        <v>4.6836900201707495E-3</v>
      </c>
      <c r="E43">
        <v>8.6534183275028802E-3</v>
      </c>
      <c r="F43">
        <v>-3.4083330452471701E-3</v>
      </c>
      <c r="G43">
        <v>-6.3219943646776302E-3</v>
      </c>
      <c r="H43">
        <f t="shared" si="0"/>
        <v>-1.6182878526177884E-3</v>
      </c>
      <c r="I43">
        <f t="shared" si="1"/>
        <v>6.0775468972512981E-3</v>
      </c>
    </row>
    <row r="44" spans="1:9" x14ac:dyDescent="0.25">
      <c r="A44" s="27">
        <v>43890</v>
      </c>
      <c r="B44">
        <v>-2.0602032727898002E-2</v>
      </c>
      <c r="C44">
        <v>-2.8338061159982501E-2</v>
      </c>
      <c r="D44">
        <v>-2.57782508991483E-2</v>
      </c>
      <c r="E44">
        <v>-5.5001298410524901E-4</v>
      </c>
      <c r="F44">
        <v>-3.0210071227734399E-2</v>
      </c>
      <c r="G44">
        <v>-3.6763290998871399E-2</v>
      </c>
      <c r="H44">
        <f t="shared" si="0"/>
        <v>-2.7488384309498765E-2</v>
      </c>
      <c r="I44">
        <f t="shared" si="1"/>
        <v>6.886351581600763E-3</v>
      </c>
    </row>
    <row r="45" spans="1:9" x14ac:dyDescent="0.25">
      <c r="A45" s="27">
        <v>43921</v>
      </c>
      <c r="B45">
        <v>-3.0116241951051399E-2</v>
      </c>
      <c r="C45">
        <v>-7.4890843672089091E-2</v>
      </c>
      <c r="D45">
        <v>-0.105725574584265</v>
      </c>
      <c r="E45">
        <v>-0.124518901200229</v>
      </c>
      <c r="F45">
        <v>-6.6487294358998306E-2</v>
      </c>
      <c r="G45">
        <v>-9.9635512245902003E-2</v>
      </c>
      <c r="H45">
        <f t="shared" si="0"/>
        <v>-8.1479151701181057E-2</v>
      </c>
      <c r="I45">
        <f t="shared" si="1"/>
        <v>5.1362909750129658E-2</v>
      </c>
    </row>
    <row r="46" spans="1:9" x14ac:dyDescent="0.25">
      <c r="A46" s="27">
        <v>43951</v>
      </c>
      <c r="B46">
        <v>4.5374781431677801E-2</v>
      </c>
      <c r="C46">
        <v>5.5141276468107299E-2</v>
      </c>
      <c r="D46">
        <v>4.4426091915708801E-2</v>
      </c>
      <c r="E46">
        <v>2.6660553042675603E-2</v>
      </c>
      <c r="F46">
        <v>5.4013609645618604E-2</v>
      </c>
      <c r="G46">
        <v>7.9237081540299195E-2</v>
      </c>
      <c r="H46">
        <f t="shared" si="0"/>
        <v>5.379906390171614E-2</v>
      </c>
      <c r="I46">
        <f t="shared" si="1"/>
        <v>-8.4242824700383398E-3</v>
      </c>
    </row>
    <row r="47" spans="1:9" x14ac:dyDescent="0.25">
      <c r="A47" s="27">
        <v>43982</v>
      </c>
      <c r="B47">
        <v>4.05152383117382E-2</v>
      </c>
      <c r="C47">
        <v>3.0769791719563198E-2</v>
      </c>
      <c r="D47">
        <v>2.6565280840485997E-2</v>
      </c>
      <c r="E47">
        <v>2.96144241397183E-2</v>
      </c>
      <c r="F47">
        <v>2.7961434233434203E-2</v>
      </c>
      <c r="G47">
        <v>4.22397537740586E-2</v>
      </c>
      <c r="H47">
        <f t="shared" si="0"/>
        <v>3.0173776163458253E-2</v>
      </c>
      <c r="I47">
        <f t="shared" si="1"/>
        <v>1.0341462148279947E-2</v>
      </c>
    </row>
    <row r="48" spans="1:9" x14ac:dyDescent="0.25">
      <c r="A48" s="27">
        <v>44012</v>
      </c>
      <c r="B48">
        <v>5.1470772946858999E-2</v>
      </c>
      <c r="C48">
        <v>1.7517056089864102E-2</v>
      </c>
      <c r="D48">
        <v>1.29965108215747E-2</v>
      </c>
      <c r="E48">
        <v>2.3197680217077198E-2</v>
      </c>
      <c r="F48">
        <v>1.5516787550606701E-2</v>
      </c>
      <c r="G48">
        <v>2.4336726325712998E-2</v>
      </c>
      <c r="H48">
        <f t="shared" si="0"/>
        <v>1.7410132046067974E-2</v>
      </c>
      <c r="I48">
        <f t="shared" si="1"/>
        <v>3.4060640900791028E-2</v>
      </c>
    </row>
    <row r="49" spans="1:9" x14ac:dyDescent="0.25">
      <c r="A49" s="27">
        <v>44043</v>
      </c>
      <c r="B49">
        <v>4.7714467766117999E-2</v>
      </c>
      <c r="C49">
        <v>2.78240271795776E-2</v>
      </c>
      <c r="D49">
        <v>2.0438186610721699E-2</v>
      </c>
      <c r="E49">
        <v>1.7324515729804101E-2</v>
      </c>
      <c r="F49">
        <v>2.80245901558096E-2</v>
      </c>
      <c r="G49">
        <v>3.6286698707708197E-2</v>
      </c>
      <c r="H49">
        <f t="shared" si="0"/>
        <v>2.7278684788851308E-2</v>
      </c>
      <c r="I49">
        <f t="shared" si="1"/>
        <v>2.0435782977266691E-2</v>
      </c>
    </row>
    <row r="50" spans="1:9" x14ac:dyDescent="0.25">
      <c r="A50" s="27">
        <v>44074</v>
      </c>
      <c r="B50">
        <v>2.99105211406091E-2</v>
      </c>
      <c r="C50">
        <v>2.5430035988076402E-2</v>
      </c>
      <c r="D50">
        <v>1.76574152266115E-2</v>
      </c>
      <c r="E50">
        <v>1.5895653175634298E-2</v>
      </c>
      <c r="F50">
        <v>2.4270849957610498E-2</v>
      </c>
      <c r="G50">
        <v>3.5820436784305104E-2</v>
      </c>
      <c r="H50">
        <f t="shared" si="0"/>
        <v>2.4429505786404987E-2</v>
      </c>
      <c r="I50">
        <f t="shared" si="1"/>
        <v>5.4810153542041128E-3</v>
      </c>
    </row>
    <row r="51" spans="1:9" x14ac:dyDescent="0.25">
      <c r="A51" s="27">
        <v>44104</v>
      </c>
      <c r="B51">
        <v>-2.9938453482283398E-2</v>
      </c>
      <c r="C51">
        <v>-5.9348821761947904E-3</v>
      </c>
      <c r="D51">
        <v>1.2525559438630199E-3</v>
      </c>
      <c r="E51">
        <v>6.2178555376080505E-3</v>
      </c>
      <c r="F51">
        <v>-7.5172690728743993E-3</v>
      </c>
      <c r="G51">
        <v>-1.00726609721955E-2</v>
      </c>
      <c r="H51">
        <f t="shared" si="0"/>
        <v>-5.4496206189945037E-3</v>
      </c>
      <c r="I51">
        <f t="shared" si="1"/>
        <v>-2.4488832863288894E-2</v>
      </c>
    </row>
    <row r="52" spans="1:9" x14ac:dyDescent="0.25">
      <c r="A52" s="27">
        <v>44135</v>
      </c>
      <c r="B52">
        <v>-2.5853835563135901E-2</v>
      </c>
      <c r="C52">
        <v>4.3768413604003695E-3</v>
      </c>
      <c r="D52">
        <v>-3.0085401761007504E-3</v>
      </c>
      <c r="E52">
        <v>4.9037379463016404E-3</v>
      </c>
      <c r="F52">
        <v>4.2816011038326E-3</v>
      </c>
      <c r="G52">
        <v>7.8223573429831508E-3</v>
      </c>
      <c r="H52">
        <f t="shared" si="0"/>
        <v>4.0969330340073461E-3</v>
      </c>
      <c r="I52">
        <f t="shared" si="1"/>
        <v>-2.9950768597143247E-2</v>
      </c>
    </row>
    <row r="53" spans="1:9" x14ac:dyDescent="0.25">
      <c r="A53" s="27">
        <v>44165</v>
      </c>
      <c r="B53">
        <v>8.5023230879198192E-2</v>
      </c>
      <c r="C53">
        <v>6.3226756292308894E-2</v>
      </c>
      <c r="D53">
        <v>4.7741667608614605E-2</v>
      </c>
      <c r="E53">
        <v>2.4268337476592402E-2</v>
      </c>
      <c r="F53">
        <v>6.03221803751329E-2</v>
      </c>
      <c r="G53">
        <v>9.0901157152164999E-2</v>
      </c>
      <c r="H53">
        <f t="shared" si="0"/>
        <v>5.9830782359567014E-2</v>
      </c>
      <c r="I53">
        <f t="shared" si="1"/>
        <v>2.5192448519631178E-2</v>
      </c>
    </row>
    <row r="54" spans="1:9" x14ac:dyDescent="0.25">
      <c r="A54" s="27">
        <v>44196</v>
      </c>
      <c r="B54">
        <v>4.6388700748940102E-2</v>
      </c>
      <c r="C54">
        <v>3.9254410621564297E-2</v>
      </c>
      <c r="D54">
        <v>2.7128710833092401E-2</v>
      </c>
      <c r="E54">
        <v>2.4482025370369902E-2</v>
      </c>
      <c r="F54">
        <v>3.7706658253279401E-2</v>
      </c>
      <c r="G54">
        <v>4.9457843649794705E-2</v>
      </c>
      <c r="H54">
        <f t="shared" si="0"/>
        <v>3.7049684542402643E-2</v>
      </c>
      <c r="I54">
        <f t="shared" si="1"/>
        <v>9.3390162065374593E-3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Data</vt:lpstr>
      <vt:lpstr>Style</vt:lpstr>
      <vt:lpstr>Style1</vt:lpstr>
      <vt:lpstr>Style2</vt:lpstr>
      <vt:lpstr>answer1</vt:lpstr>
      <vt:lpstr>Answer2</vt:lpstr>
      <vt:lpstr>ColNames</vt:lpstr>
      <vt:lpstr>Errors</vt:lpstr>
      <vt:lpstr>Errors1</vt:lpstr>
      <vt:lpstr>Errors2</vt:lpstr>
      <vt:lpstr>ErrVariance</vt:lpstr>
      <vt:lpstr>ErrVariance1</vt:lpstr>
      <vt:lpstr>ErrVariance2</vt:lpstr>
      <vt:lpstr>MaxWeights</vt:lpstr>
      <vt:lpstr>MaxWeights1</vt:lpstr>
      <vt:lpstr>MaxWeights2</vt:lpstr>
      <vt:lpstr>MinWeights</vt:lpstr>
      <vt:lpstr>MinWeights1</vt:lpstr>
      <vt:lpstr>MinWeights2</vt:lpstr>
      <vt:lpstr>ReturnData</vt:lpstr>
      <vt:lpstr>StyleWeights</vt:lpstr>
      <vt:lpstr>StyleWeights1</vt:lpstr>
      <vt:lpstr>StyleWeights2</vt:lpstr>
      <vt:lpstr>temp</vt:lpstr>
      <vt:lpstr>Total</vt:lpstr>
      <vt:lpstr>Total1</vt:lpstr>
      <vt:lpstr>Total2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Hanson</dc:creator>
  <cp:lastModifiedBy>he peiyao</cp:lastModifiedBy>
  <dcterms:created xsi:type="dcterms:W3CDTF">2016-11-02T17:24:58Z</dcterms:created>
  <dcterms:modified xsi:type="dcterms:W3CDTF">2022-11-15T07:37:14Z</dcterms:modified>
</cp:coreProperties>
</file>