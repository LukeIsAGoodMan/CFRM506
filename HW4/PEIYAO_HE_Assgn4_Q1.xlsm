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iya\Desktop\Assignment4\"/>
    </mc:Choice>
  </mc:AlternateContent>
  <xr:revisionPtr revIDLastSave="0" documentId="13_ncr:1_{17BD2FF3-8C81-4261-98D9-85A4084629C2}" xr6:coauthVersionLast="47" xr6:coauthVersionMax="47" xr10:uidLastSave="{00000000-0000-0000-0000-000000000000}"/>
  <bookViews>
    <workbookView xWindow="3648" yWindow="2820" windowWidth="23040" windowHeight="9576" xr2:uid="{00000000-000D-0000-FFFF-FFFF00000000}"/>
  </bookViews>
  <sheets>
    <sheet name="Bond" sheetId="4" r:id="rId1"/>
    <sheet name="BondData" sheetId="3" r:id="rId2"/>
  </sheets>
  <functionGroups builtInGroupCount="19"/>
  <definedNames>
    <definedName name="ColNames" localSheetId="1">BondData!$A$1:$K$1</definedName>
    <definedName name="CouponFreq">Bond!$C$6</definedName>
    <definedName name="CouponRate">Bond!$C$5</definedName>
    <definedName name="Currency">Bond!$C$9</definedName>
    <definedName name="ExpiryDate">Bond!$C$8</definedName>
    <definedName name="FV">Bond!$C$10</definedName>
    <definedName name="ID">Bond!$C$4</definedName>
    <definedName name="InputData" localSheetId="1">BondData!$A$2:$I$7</definedName>
    <definedName name="MktRate">Bond!$C$11</definedName>
    <definedName name="MktValue">Bond!$C$12</definedName>
    <definedName name="pv" localSheetId="1">BondData!$J$2:$J$7</definedName>
    <definedName name="PV">Bond!$C$13</definedName>
    <definedName name="SettlementDate">Bond!$C$7</definedName>
    <definedName name="ytm" localSheetId="1">BondData!$K$2:$K$7</definedName>
  </definedNames>
  <calcPr calcId="191029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/>
  <c r="J6" i="3"/>
  <c r="J5" i="3"/>
  <c r="J4" i="3"/>
  <c r="J3" i="3"/>
  <c r="J2" i="3"/>
  <c r="E13" i="4" a="1"/>
  <c r="E13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<sst xmlns="http://schemas.openxmlformats.org/spreadsheetml/2006/main" count="40" uniqueCount="24">
  <si>
    <t>ExpiryDate</t>
  </si>
  <si>
    <t>Currency</t>
  </si>
  <si>
    <t>FaceValue</t>
  </si>
  <si>
    <t>PresentValue</t>
  </si>
  <si>
    <t>YieldToMaturity</t>
  </si>
  <si>
    <t>MktRate</t>
  </si>
  <si>
    <t>Percentage</t>
  </si>
  <si>
    <t>Date</t>
  </si>
  <si>
    <t>Double</t>
  </si>
  <si>
    <t>ID</t>
  </si>
  <si>
    <t>USD</t>
  </si>
  <si>
    <t>Integer (Months)</t>
  </si>
  <si>
    <t>JPY</t>
  </si>
  <si>
    <t>GBP</t>
  </si>
  <si>
    <t>Bond</t>
  </si>
  <si>
    <t>String (will be converted to Enum)</t>
  </si>
  <si>
    <t>MktValue</t>
  </si>
  <si>
    <t>Integer (unique)</t>
  </si>
  <si>
    <t>Settlement Date</t>
  </si>
  <si>
    <t>Coupon Rate</t>
  </si>
  <si>
    <t>Tenor or Coupon Frequency</t>
  </si>
  <si>
    <t>Coupon</t>
  </si>
  <si>
    <t>Tenor</t>
  </si>
  <si>
    <t>IssueDate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</si>
</sst>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.00_);[Red]\(&quot;$&quot;#,##0.00\)"/>
    <numFmt numFmtId="177" formatCode="[$-409]d\-mmm\-yyyy;@"/>
    <numFmt numFmtId="178" formatCode="0.00_);[Red]\(0.00\)"/>
    <numFmt numFmtId="179" formatCode="0.0000%"/>
  </numFmts>
  <fonts count="5" x14ac:knownFonts="1">
    <font>
      <sz val="11"/>
      <color theme="1"/>
      <name val="等线"/>
      <family val="2"/>
      <scheme val="minor"/>
    </font>
    <font>
      <b/>
      <u/>
      <sz val="11"/>
      <color theme="1"/>
      <name val="等线"/>
      <family val="2"/>
      <scheme val="minor"/>
    </font>
    <font>
      <i/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10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2" borderId="1" xfId="0" applyFill="1" applyBorder="1" applyAlignment="1">
      <alignment horizontal="right"/>
    </xf>
    <xf numFmtId="10" fontId="0" fillId="2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77" fontId="0" fillId="2" borderId="1" xfId="0" applyNumberFormat="1" applyFill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6" fontId="0" fillId="3" borderId="1" xfId="0" applyNumberFormat="1" applyFill="1" applyBorder="1" applyAlignment="1">
      <alignment horizontal="right"/>
    </xf>
    <xf numFmtId="10" fontId="0" fillId="3" borderId="1" xfId="0" applyNumberFormat="1" applyFill="1" applyBorder="1" applyAlignment="1">
      <alignment horizontal="right"/>
    </xf>
    <xf numFmtId="0" fontId="2" fillId="4" borderId="1" xfId="0" applyFont="1" applyFill="1" applyBorder="1"/>
    <xf numFmtId="0" fontId="0" fillId="0" borderId="0" xfId="0" applyFont="1" applyFill="1" applyBorder="1" applyAlignment="1">
      <alignment horizontal="right"/>
    </xf>
    <xf numFmtId="10" fontId="0" fillId="0" borderId="0" xfId="0" applyNumberFormat="1" applyFont="1" applyFill="1" applyBorder="1" applyAlignment="1">
      <alignment horizontal="right"/>
    </xf>
    <xf numFmtId="177" fontId="0" fillId="0" borderId="0" xfId="0" applyNumberFormat="1" applyFont="1" applyFill="1" applyBorder="1" applyAlignment="1">
      <alignment horizontal="right"/>
    </xf>
    <xf numFmtId="0" fontId="0" fillId="0" borderId="0" xfId="0" applyFill="1" applyBorder="1"/>
    <xf numFmtId="10" fontId="0" fillId="0" borderId="0" xfId="0" applyNumberFormat="1" applyFill="1" applyBorder="1"/>
    <xf numFmtId="177" fontId="0" fillId="0" borderId="0" xfId="0" applyNumberFormat="1" applyFill="1" applyBorder="1"/>
    <xf numFmtId="2" fontId="0" fillId="0" borderId="0" xfId="0" applyNumberFormat="1"/>
    <xf numFmtId="178" fontId="0" fillId="0" borderId="0" xfId="0" applyNumberFormat="1"/>
    <xf numFmtId="176" fontId="0" fillId="0" borderId="0" xfId="0" applyNumberFormat="1"/>
    <xf numFmtId="0" fontId="4" fillId="5" borderId="1" xfId="0" applyFont="1" applyFill="1" applyBorder="1" applyAlignment="1">
      <alignment horizontal="right" wrapText="1"/>
    </xf>
    <xf numFmtId="10" fontId="4" fillId="5" borderId="1" xfId="0" applyNumberFormat="1" applyFont="1" applyFill="1" applyBorder="1" applyAlignment="1">
      <alignment horizontal="right" wrapText="1"/>
    </xf>
    <xf numFmtId="177" fontId="4" fillId="5" borderId="1" xfId="0" applyNumberFormat="1" applyFont="1" applyFill="1" applyBorder="1" applyAlignment="1">
      <alignment horizontal="right" wrapText="1"/>
    </xf>
    <xf numFmtId="2" fontId="4" fillId="5" borderId="1" xfId="0" applyNumberFormat="1" applyFont="1" applyFill="1" applyBorder="1" applyAlignment="1">
      <alignment horizontal="right" wrapText="1"/>
    </xf>
    <xf numFmtId="178" fontId="4" fillId="5" borderId="1" xfId="0" applyNumberFormat="1" applyFont="1" applyFill="1" applyBorder="1" applyAlignment="1">
      <alignment horizontal="right" wrapText="1"/>
    </xf>
    <xf numFmtId="0" fontId="0" fillId="6" borderId="1" xfId="0" applyFill="1" applyBorder="1" applyAlignment="1">
      <alignment horizontal="right"/>
    </xf>
    <xf numFmtId="10" fontId="0" fillId="6" borderId="1" xfId="0" applyNumberFormat="1" applyFill="1" applyBorder="1" applyAlignment="1">
      <alignment horizontal="right"/>
    </xf>
    <xf numFmtId="177" fontId="0" fillId="6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178" fontId="0" fillId="6" borderId="1" xfId="0" applyNumberFormat="1" applyFill="1" applyBorder="1" applyAlignment="1">
      <alignment horizontal="right"/>
    </xf>
    <xf numFmtId="2" fontId="0" fillId="7" borderId="1" xfId="0" applyNumberFormat="1" applyFill="1" applyBorder="1" applyAlignment="1">
      <alignment horizontal="right"/>
    </xf>
    <xf numFmtId="179" fontId="0" fillId="7" borderId="1" xfId="0" applyNumberForma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731520</xdr:colOff>
          <xdr:row>9</xdr:row>
          <xdr:rowOff>121920</xdr:rowOff>
        </xdr:from>
        <xdr:to>
          <xdr:col>4</xdr:col>
          <xdr:colOff>304800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 YTM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ingleBond"/>
  <dimension ref="B3:I20"/>
  <sheetViews>
    <sheetView tabSelected="1" workbookViewId="0">
      <selection activeCell="E13" sqref="E13"/>
    </sheetView>
  </sheetViews>
  <sheetFormatPr defaultRowHeight="13.8" x14ac:dyDescent="0.25"/>
  <cols>
    <col min="2" max="2" width="15.88671875" bestFit="1" customWidth="1"/>
    <col min="3" max="3" width="13" customWidth="1"/>
    <col min="5" max="5" width="9.109375" bestFit="1" customWidth="1"/>
    <col min="9" max="9" width="12.5546875" bestFit="1" customWidth="1"/>
  </cols>
  <sheetData>
    <row r="3" spans="2:5" x14ac:dyDescent="0.25">
      <c r="B3" s="1" t="s">
        <v>14</v>
      </c>
    </row>
    <row r="4" spans="2:5" x14ac:dyDescent="0.25">
      <c r="B4" s="12" t="s">
        <v>9</v>
      </c>
      <c r="C4" s="5">
        <v>1</v>
      </c>
      <c r="D4" t="s">
        <v>17</v>
      </c>
    </row>
    <row r="5" spans="2:5" x14ac:dyDescent="0.25">
      <c r="B5" s="12" t="s">
        <v>21</v>
      </c>
      <c r="C5" s="6">
        <v>4.1300000000000003E-2</v>
      </c>
      <c r="D5" t="s">
        <v>6</v>
      </c>
    </row>
    <row r="6" spans="2:5" x14ac:dyDescent="0.25">
      <c r="B6" s="12" t="s">
        <v>22</v>
      </c>
      <c r="C6" s="7">
        <v>6</v>
      </c>
      <c r="D6" t="s">
        <v>11</v>
      </c>
    </row>
    <row r="7" spans="2:5" x14ac:dyDescent="0.25">
      <c r="B7" s="12" t="s">
        <v>23</v>
      </c>
      <c r="C7" s="8">
        <v>44866</v>
      </c>
      <c r="D7" t="s">
        <v>7</v>
      </c>
    </row>
    <row r="8" spans="2:5" x14ac:dyDescent="0.25">
      <c r="B8" s="12" t="s">
        <v>0</v>
      </c>
      <c r="C8" s="8">
        <v>46691</v>
      </c>
      <c r="D8" t="s">
        <v>7</v>
      </c>
    </row>
    <row r="9" spans="2:5" x14ac:dyDescent="0.25">
      <c r="B9" s="12" t="s">
        <v>1</v>
      </c>
      <c r="C9" s="5" t="s">
        <v>10</v>
      </c>
      <c r="D9" t="s">
        <v>15</v>
      </c>
    </row>
    <row r="10" spans="2:5" x14ac:dyDescent="0.25">
      <c r="B10" s="12" t="s">
        <v>2</v>
      </c>
      <c r="C10" s="9">
        <v>100000</v>
      </c>
      <c r="D10" t="s">
        <v>8</v>
      </c>
    </row>
    <row r="11" spans="2:5" x14ac:dyDescent="0.25">
      <c r="B11" s="12" t="s">
        <v>5</v>
      </c>
      <c r="C11" s="6">
        <v>4.4999999999999998E-2</v>
      </c>
      <c r="D11" t="s">
        <v>6</v>
      </c>
    </row>
    <row r="12" spans="2:5" x14ac:dyDescent="0.25">
      <c r="B12" s="12" t="s">
        <v>16</v>
      </c>
      <c r="C12" s="9">
        <v>99090</v>
      </c>
    </row>
    <row r="13" spans="2:5" x14ac:dyDescent="0.25">
      <c r="B13" s="12" t="s">
        <v>3</v>
      </c>
      <c r="C13" s="10">
        <v>98359.749975459345</v>
      </c>
      <c r="D13" t="s">
        <v>8</v>
      </c>
      <c r="E13" cm="1">
        <f t="array" ref="E13">calcpv(C10,C5,C6,C7,C8,C11)</f>
        <v>98360.437195494582</v>
      </c>
    </row>
    <row r="14" spans="2:5" x14ac:dyDescent="0.25">
      <c r="B14" s="12" t="s">
        <v>4</v>
      </c>
      <c r="C14" s="11">
        <v>4.3343907683663759E-2</v>
      </c>
      <c r="D14" t="s">
        <v>8</v>
      </c>
    </row>
    <row r="15" spans="2:5" x14ac:dyDescent="0.25">
      <c r="B15" s="4"/>
    </row>
    <row r="20" spans="9:9" x14ac:dyDescent="0.25">
      <c r="I20" s="21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ondData"/>
  <dimension ref="A1:K13"/>
  <sheetViews>
    <sheetView workbookViewId="0">
      <selection activeCell="F9" sqref="F9"/>
    </sheetView>
  </sheetViews>
  <sheetFormatPr defaultRowHeight="13.8" x14ac:dyDescent="0.25"/>
  <cols>
    <col min="1" max="1" width="3.44140625" bestFit="1" customWidth="1"/>
    <col min="2" max="2" width="9.109375" style="2" customWidth="1"/>
    <col min="3" max="3" width="12" customWidth="1"/>
    <col min="4" max="4" width="16.6640625" style="3" customWidth="1"/>
    <col min="5" max="5" width="12.5546875" style="3" customWidth="1"/>
    <col min="6" max="6" width="10.44140625" customWidth="1"/>
    <col min="7" max="7" width="11.44140625" style="19" bestFit="1" customWidth="1"/>
    <col min="8" max="8" width="10.44140625" style="2" customWidth="1"/>
    <col min="9" max="9" width="13.5546875" style="20" customWidth="1"/>
    <col min="10" max="10" width="14.109375" customWidth="1"/>
    <col min="11" max="11" width="16" style="2" customWidth="1"/>
    <col min="12" max="12" width="20.109375" customWidth="1"/>
  </cols>
  <sheetData>
    <row r="1" spans="1:11" ht="63" customHeight="1" x14ac:dyDescent="0.25">
      <c r="A1" s="22" t="s">
        <v>9</v>
      </c>
      <c r="B1" s="23" t="s">
        <v>19</v>
      </c>
      <c r="C1" s="22" t="s">
        <v>20</v>
      </c>
      <c r="D1" s="24" t="s">
        <v>18</v>
      </c>
      <c r="E1" s="24" t="s">
        <v>0</v>
      </c>
      <c r="F1" s="22" t="s">
        <v>1</v>
      </c>
      <c r="G1" s="25" t="s">
        <v>2</v>
      </c>
      <c r="H1" s="23" t="s">
        <v>5</v>
      </c>
      <c r="I1" s="26" t="s">
        <v>16</v>
      </c>
      <c r="J1" s="22" t="s">
        <v>3</v>
      </c>
      <c r="K1" s="23" t="s">
        <v>4</v>
      </c>
    </row>
    <row r="2" spans="1:11" x14ac:dyDescent="0.25">
      <c r="A2" s="27">
        <v>1</v>
      </c>
      <c r="B2" s="28">
        <v>4.1300000000000003E-2</v>
      </c>
      <c r="C2" s="27">
        <v>6</v>
      </c>
      <c r="D2" s="29">
        <v>44866</v>
      </c>
      <c r="E2" s="29">
        <v>46691</v>
      </c>
      <c r="F2" s="27" t="s">
        <v>10</v>
      </c>
      <c r="G2" s="30">
        <v>100000</v>
      </c>
      <c r="H2" s="28">
        <v>4.2500000000000003E-2</v>
      </c>
      <c r="I2" s="31">
        <v>99090</v>
      </c>
      <c r="J2" s="32">
        <f>calcpv(G2,B2,C2,D2,E2,K2)</f>
        <v>99090.000000007203</v>
      </c>
      <c r="K2" s="33">
        <v>4.3344656494297439E-2</v>
      </c>
    </row>
    <row r="3" spans="1:11" x14ac:dyDescent="0.25">
      <c r="A3" s="27">
        <v>2.75</v>
      </c>
      <c r="B3" s="28">
        <v>2.75E-2</v>
      </c>
      <c r="C3" s="27">
        <v>6</v>
      </c>
      <c r="D3" s="29">
        <v>44866</v>
      </c>
      <c r="E3" s="29">
        <v>48518</v>
      </c>
      <c r="F3" s="27" t="s">
        <v>10</v>
      </c>
      <c r="G3" s="30">
        <v>100000</v>
      </c>
      <c r="H3" s="28">
        <v>3.7499999999999999E-2</v>
      </c>
      <c r="I3" s="31">
        <v>88780</v>
      </c>
      <c r="J3" s="32">
        <f>calcpv(G3,B3,C3,D3,E3,K3)</f>
        <v>88780.000000000204</v>
      </c>
      <c r="K3" s="33">
        <v>4.1313724439130811E-2</v>
      </c>
    </row>
    <row r="4" spans="1:11" x14ac:dyDescent="0.25">
      <c r="A4" s="27">
        <v>3</v>
      </c>
      <c r="B4" s="28">
        <v>4.2500000000000003E-2</v>
      </c>
      <c r="C4" s="27">
        <v>6</v>
      </c>
      <c r="D4" s="29">
        <v>44866</v>
      </c>
      <c r="E4" s="29">
        <v>48518</v>
      </c>
      <c r="F4" s="27" t="s">
        <v>13</v>
      </c>
      <c r="G4" s="30">
        <v>100000</v>
      </c>
      <c r="H4" s="28">
        <v>3.5000000000000003E-2</v>
      </c>
      <c r="I4" s="31">
        <v>105790</v>
      </c>
      <c r="J4" s="32">
        <f>calcpv(G4,B4,C4,D4,E4,K4)</f>
        <v>105790.00000083086</v>
      </c>
      <c r="K4" s="33">
        <v>3.5566901343725081E-2</v>
      </c>
    </row>
    <row r="5" spans="1:11" x14ac:dyDescent="0.25">
      <c r="A5" s="27">
        <v>4</v>
      </c>
      <c r="B5" s="28">
        <v>4.3799999999999999E-2</v>
      </c>
      <c r="C5" s="27">
        <v>6</v>
      </c>
      <c r="D5" s="29">
        <v>44866</v>
      </c>
      <c r="E5" s="29">
        <v>45596</v>
      </c>
      <c r="F5" s="27" t="s">
        <v>10</v>
      </c>
      <c r="G5" s="30">
        <v>200000</v>
      </c>
      <c r="H5" s="28">
        <v>4.4999999999999998E-2</v>
      </c>
      <c r="I5" s="31">
        <v>198940</v>
      </c>
      <c r="J5" s="32">
        <f>calcpv(G5,B5,C5,D5,E5,K5)</f>
        <v>198940.00000000003</v>
      </c>
      <c r="K5" s="33">
        <v>4.6609160726954743E-2</v>
      </c>
    </row>
    <row r="6" spans="1:11" x14ac:dyDescent="0.25">
      <c r="A6" s="27">
        <v>5</v>
      </c>
      <c r="B6" s="28">
        <v>1.0999999999999999E-2</v>
      </c>
      <c r="C6" s="27">
        <v>3</v>
      </c>
      <c r="D6" s="29">
        <v>44866</v>
      </c>
      <c r="E6" s="29">
        <v>48518</v>
      </c>
      <c r="F6" s="27" t="s">
        <v>12</v>
      </c>
      <c r="G6" s="30">
        <v>100000</v>
      </c>
      <c r="H6" s="28">
        <v>1.0999999999999999E-2</v>
      </c>
      <c r="I6" s="31">
        <v>99230</v>
      </c>
      <c r="J6" s="32">
        <f>calcpv(G6,B6,C6,D6,E6,K6)</f>
        <v>99230.000000002226</v>
      </c>
      <c r="K6" s="33">
        <v>1.1817739094566933E-2</v>
      </c>
    </row>
    <row r="7" spans="1:11" x14ac:dyDescent="0.25">
      <c r="A7" s="27">
        <v>6</v>
      </c>
      <c r="B7" s="28">
        <v>0.03</v>
      </c>
      <c r="C7" s="27">
        <v>6</v>
      </c>
      <c r="D7" s="29">
        <v>44866</v>
      </c>
      <c r="E7" s="29">
        <v>55549</v>
      </c>
      <c r="F7" s="27" t="s">
        <v>10</v>
      </c>
      <c r="G7" s="30">
        <v>1000000</v>
      </c>
      <c r="H7" s="28">
        <v>4.2500000000000003E-2</v>
      </c>
      <c r="I7" s="31">
        <v>790500</v>
      </c>
      <c r="J7" s="32">
        <f>calcpv(G7,B7,C7,D7,E7,K7)</f>
        <v>790500.00000001059</v>
      </c>
      <c r="K7" s="33">
        <v>4.2592435679743759E-2</v>
      </c>
    </row>
    <row r="11" spans="1:11" x14ac:dyDescent="0.25">
      <c r="F11" s="3"/>
      <c r="G11" s="3"/>
    </row>
    <row r="12" spans="1:11" x14ac:dyDescent="0.25">
      <c r="B12" s="14"/>
      <c r="C12" s="13"/>
      <c r="D12" s="15"/>
      <c r="E12" s="15"/>
      <c r="F12" s="15"/>
      <c r="G12" s="15"/>
    </row>
    <row r="13" spans="1:11" x14ac:dyDescent="0.25">
      <c r="B13" s="17"/>
      <c r="C13" s="16"/>
      <c r="D13" s="18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YieldToMaturity">
                <anchor moveWithCells="1">
                  <from>
                    <xdr:col>3</xdr:col>
                    <xdr:colOff>731520</xdr:colOff>
                    <xdr:row>9</xdr:row>
                    <xdr:rowOff>121920</xdr:rowOff>
                  </from>
                  <to>
                    <xdr:col>4</xdr:col>
                    <xdr:colOff>304800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Bond</vt:lpstr>
      <vt:lpstr>BondData</vt:lpstr>
      <vt:lpstr>BondData!ColNames</vt:lpstr>
      <vt:lpstr>CouponFreq</vt:lpstr>
      <vt:lpstr>CouponRate</vt:lpstr>
      <vt:lpstr>Currency</vt:lpstr>
      <vt:lpstr>ExpiryDate</vt:lpstr>
      <vt:lpstr>FV</vt:lpstr>
      <vt:lpstr>ID</vt:lpstr>
      <vt:lpstr>BondData!InputData</vt:lpstr>
      <vt:lpstr>MktRate</vt:lpstr>
      <vt:lpstr>MktValue</vt:lpstr>
      <vt:lpstr>BondData!pv</vt:lpstr>
      <vt:lpstr>PV</vt:lpstr>
      <vt:lpstr>SettlementDate</vt:lpstr>
      <vt:lpstr>BondData!ytm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Hanson</dc:creator>
  <cp:lastModifiedBy>he peiyao</cp:lastModifiedBy>
  <dcterms:created xsi:type="dcterms:W3CDTF">2016-11-10T03:45:58Z</dcterms:created>
  <dcterms:modified xsi:type="dcterms:W3CDTF">2022-11-14T06:08:05Z</dcterms:modified>
</cp:coreProperties>
</file>